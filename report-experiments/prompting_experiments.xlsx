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209"/>
  <workbookPr dateCompatibility="0" defaultThemeVersion="202300"/>
  <mc:AlternateContent xmlns:mc="http://schemas.openxmlformats.org/markup-compatibility/2006">
    <mc:Choice Requires="x15">
      <x15ac:absPath xmlns:x15ac="http://schemas.microsoft.com/office/spreadsheetml/2010/11/ac" url="/Users/chiraag/Desktop/GDriveSync/ntu-fyp/coding-tutor/report-experiments/"/>
    </mc:Choice>
  </mc:AlternateContent>
  <xr:revisionPtr revIDLastSave="0" documentId="8_{24E226CC-7A39-EE49-81EF-A280D6703EF0}" xr6:coauthVersionLast="47" xr6:coauthVersionMax="47" xr10:uidLastSave="{00000000-0000-0000-0000-000000000000}"/>
  <bookViews>
    <workbookView xWindow="0" yWindow="0" windowWidth="38400" windowHeight="21600" activeTab="1" xr2:uid="{16AE810C-E2A4-3C4D-AAF4-8B759BA2D30C}"/>
  </bookViews>
  <sheets>
    <sheet name="prompting_experiments" sheetId="1" r:id="rId1"/>
    <sheet name="results summary" sheetId="2" r:id="rId2"/>
  </sheets>
  <definedNames>
    <definedName name="_xlnm._FilterDatabase" localSheetId="0" hidden="1">prompting_experiments!$A$1:$V$577</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AP9" i="1" l="1"/>
  <c r="AO9" i="1"/>
  <c r="AP8" i="1"/>
  <c r="AO8" i="1"/>
  <c r="AP7" i="1"/>
  <c r="AO7" i="1"/>
  <c r="AP6" i="1"/>
  <c r="AO6" i="1"/>
  <c r="AP5" i="1"/>
  <c r="AO5" i="1"/>
  <c r="AP4" i="1"/>
  <c r="AO4" i="1"/>
  <c r="AP3" i="1"/>
  <c r="AO3" i="1"/>
  <c r="AP2" i="1"/>
  <c r="AO2" i="1"/>
  <c r="AN3" i="1"/>
  <c r="AN4" i="1"/>
  <c r="AN5" i="1"/>
  <c r="AN6" i="1"/>
  <c r="AN7" i="1"/>
  <c r="AN8" i="1"/>
  <c r="AN9" i="1"/>
  <c r="AN2" i="1"/>
  <c r="AM3" i="1"/>
  <c r="AM4" i="1"/>
  <c r="AM5" i="1"/>
  <c r="AM6" i="1"/>
  <c r="AM7" i="1"/>
  <c r="AM8" i="1"/>
  <c r="AM9" i="1"/>
  <c r="AM2" i="1"/>
  <c r="AL3" i="1"/>
  <c r="AL4" i="1"/>
  <c r="AL5" i="1"/>
  <c r="AL6" i="1"/>
  <c r="AL7" i="1"/>
  <c r="AL8" i="1"/>
  <c r="AL9" i="1"/>
  <c r="AL2" i="1"/>
  <c r="AK3" i="1"/>
  <c r="AK4" i="1"/>
  <c r="AK5" i="1"/>
  <c r="AK6" i="1"/>
  <c r="AK7" i="1"/>
  <c r="AK8" i="1"/>
  <c r="AK9" i="1"/>
  <c r="AK2" i="1"/>
  <c r="AJ3" i="1"/>
  <c r="AJ4" i="1"/>
  <c r="AJ5" i="1"/>
  <c r="AJ6" i="1"/>
  <c r="AJ7" i="1"/>
  <c r="AJ8" i="1"/>
  <c r="AJ9" i="1"/>
  <c r="AJ2" i="1"/>
  <c r="AI3" i="1"/>
  <c r="AI4" i="1"/>
  <c r="AI5" i="1"/>
  <c r="AI6" i="1"/>
  <c r="AI7" i="1"/>
  <c r="AI8" i="1"/>
  <c r="AI9" i="1"/>
  <c r="AI2" i="1"/>
  <c r="AQ4" i="1" l="1"/>
  <c r="AQ8" i="1"/>
  <c r="AQ6" i="1"/>
  <c r="AQ7" i="1"/>
  <c r="AQ9" i="1"/>
  <c r="AQ3" i="1"/>
  <c r="AQ2" i="1"/>
  <c r="AQ5" i="1"/>
</calcChain>
</file>

<file path=xl/sharedStrings.xml><?xml version="1.0" encoding="utf-8"?>
<sst xmlns="http://purl.oclc.org/ooxml/spreadsheetml/main" count="8078" uniqueCount="2793">
  <si>
    <t>model</t>
  </si>
  <si>
    <t>question</t>
  </si>
  <si>
    <t>question_file</t>
  </si>
  <si>
    <t>solution</t>
  </si>
  <si>
    <t>solution_type</t>
  </si>
  <si>
    <t>prompt_type</t>
  </si>
  <si>
    <t>test_case_mode</t>
  </si>
  <si>
    <t>iteration</t>
  </si>
  <si>
    <t>prompt</t>
  </si>
  <si>
    <t>response</t>
  </si>
  <si>
    <t>input_tokens</t>
  </si>
  <si>
    <t>input_words</t>
  </si>
  <si>
    <t>output_tokens</t>
  </si>
  <si>
    <t>output_words</t>
  </si>
  <si>
    <t>time_taken</t>
  </si>
  <si>
    <t>correctness_score</t>
  </si>
  <si>
    <t>correctness_justification</t>
  </si>
  <si>
    <t>specificity_score</t>
  </si>
  <si>
    <t>specificity_justification</t>
  </si>
  <si>
    <t>level_of_detail_score</t>
  </si>
  <si>
    <t>level_of_detail_justification</t>
  </si>
  <si>
    <t>expected_hint</t>
  </si>
  <si>
    <t>claude-3-5-sonnet-20241022</t>
  </si>
  <si>
    <t>broken_firewall</t>
  </si>
  <si>
    <t>question_summary.md</t>
  </si>
  <si>
    <t>questions/broken_firewall/1_incomplete.py</t>
  </si>
  <si>
    <t>incomplete</t>
  </si>
  <si>
    <t>claude-3-5-sonnet-cot</t>
  </si>
  <si>
    <t>FULL</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</si>
  <si>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 insert your solution below
    def ip_str_to_int(ip_str):
        parts = list(map(int, ip_str.split('.')))
        return (parts[0] &lt;&lt; 24) + (parts[1] &lt;&lt; 16) + (parts[2] &lt;&lt; 8) + parts[3]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</si>
  <si>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 "The solution is incomplete as it only has a helper function to convert IP string to integer but no main logic. The next immediate step would be to extract packet length from hex string.",
    "is_complete": false,
    "is_correct": false,
    "errors_or_next_steps": "Missing packet length extraction from hex string and main solution logic",
    "hint": "Look at bytes 3-4 of each packet header. These two hex digits represent the packet length. Try extracting this value first."
}</t>
  </si>
  <si>
    <t>3.1387341022491455</t>
  </si>
  <si>
    <t>The hint focuses on extracting a piece of information (packet length) from the IP packet, which aligns with the goal of continuing to parse relevant data from the packets.</t>
  </si>
  <si>
    <t>The hint suggests a single action‚Äîextracting the length from bytes 3-4‚Äîrather than multiple steps.</t>
  </si>
  <si>
    <t>No Python code snippets or detailed code references are provided.</t>
  </si>
  <si>
    <t>So far you have created function to extract ip address, need to iterate over input data and extract the relevant infromation from the ip packets</t>
  </si>
  <si>
    <t>{
    "thought": "The solution is incomplete as it only has a helper function for converting IP strings to integers. The student needs to parse the hex strings, extract relevant parts and implement the main logic for counting bytes.",
    "is_complete": false,
    "is_correct": false,
    "errors_or_next_steps": "Need to implement main logic to parse hex strings and extract packet lengths and IP addresses",
    "hint": "Start by adding code to extract the packet length from bytes 3-4 of each hex string. Try converting these two hex digits to a decimal number."
}</t>
  </si>
  <si>
    <t>3.3082070350646973</t>
  </si>
  <si>
    <t>The hint aligns with the overall goal of extracting information from IP packets (in this case, the packet length), which matches the intention of the expected hint.</t>
  </si>
  <si>
    <t>It suggests a single action (reading and converting two hex digits to a decimal) rather than multiple distinct steps.</t>
  </si>
  <si>
    <t>It provides guidance conceptually but does not include explicit Python code or snippets.</t>
  </si>
  <si>
    <t>{
    "thought": "The solution is incomplete and incorrect. The student has only defined a helper function to convert IP strings to integers but hasn't implemented the main logic to parse hex strings, extract packet lengths, or check IP ranges.",
    "is_complete": false,
    "is_correct": false,
    "errors_or_next_steps": "Need to implement hex string parsing and packet length extraction",
    "hint": "Start by looking at the first packet. Each two characters represent one byte. Try extracting bytes 3-4 to get the packet length."
}</t>
  </si>
  <si>
    <t>3.198883056640625</t>
  </si>
  <si>
    <t>The hint focuses on parsing the packet data (specifically the length), which aligns with the overall intention of extracting relevant information from IP packets.</t>
  </si>
  <si>
    <t>It points to a single action: extracting bytes 3-4 to get the packet length.</t>
  </si>
  <si>
    <t>No Python code or code snippet is provided in the hint.</t>
  </si>
  <si>
    <t>claude-3-5-sonnet-cot-and-reflection</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</si>
  <si>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 insert your solution below
    def ip_str_to_int(ip_str):
        parts = list(map(int, ip_str.split('.')))
        return (parts[0] &lt;&lt; 24) + (parts[1] &lt;&lt; 16) + (parts[2] &lt;&lt; 8) + parts[3]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</si>
  <si>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 "The solution is both incomplete and incorrect. The student has only defined a helper function to convert IP strings to integers but hasn't implemented the main logic. The next immediate step should be to extract the packet length from the hex string.",
    "is_complete": false,
    "is_correct": false,
    "errors_or_next_steps": "Missing packet length extraction from hex string bytes 3-4",
    "hint_first_draft": "Look at the first part of the header - you'll need to get the size of each packet from those two bytes. Try converting those specific hex digits to a decimal number.",
    "reflection": "The hint focuses on the immediate next step without giving away the solution. It's clear and specific about what part of the header to look at.",
    "hint": "Those first few characters in each packet contain its size. Try focusing on bytes 3-4 and convert them from hex to get the packet length."
}</t>
  </si>
  <si>
    <t>4.928924083709717</t>
  </si>
  <si>
    <t>The hint aligns with the goal of extracting additional information (the packet size) from the IP packets, which matches the overall intention of the expected hint.</t>
  </si>
  <si>
    <t>It only suggests a single, focused action (examining bytes 3-4 to get the packet length), rather than multiple steps.</t>
  </si>
  <si>
    <t>It does not provide any Python code or snippet, only a general directive.</t>
  </si>
  <si>
    <t>{
    "thought": "The solution is incomplete as it only has a helper function to convert IP strings to integers. The student needs to start processing the hex strings and extract relevant information. The next immediate step would be parsing the packet length.",
    "is_complete": false,
    "is_correct": false,
    "errors_or_next_steps": "Need to start processing hex strings and extract packet length from bytes 3-4",
    "hint_first_draft": "Look at extracting the packet length first. In the hex string, each digit represents 4 bits, so two digits make one byte.",
    "reflection": "The hint should be more conversational and focused on the immediate next step without being too technical",
    "hint": "Hey! Start by looking at bytes 3-4 of each packet. These two bytes tell you how big each packet is - try converting those hex digits first!"
}</t>
  </si>
  <si>
    <t>4.8096747398376465</t>
  </si>
  <si>
    <t>The provided hint focuses on determining packet size from bytes 3-4, which does not align with the expected hint's intention of iterating over the data to extract IP address or other relevant packet information.</t>
  </si>
  <si>
    <t>It suggests only one step (looking at bytes 3-4 and converting from hex). There is no clear sequence of additional steps.</t>
  </si>
  <si>
    <t>It does not provide any Python code or code snippets.</t>
  </si>
  <si>
    <t>{
    "thought": "The solution is incomplete. The student has only defined a helper function to convert IP strings to integers but hasn't implemented the main logic. They need to first extract the packet length from bytes 3-4 of each hex string.",
    "is_complete": false,
    "is_correct": false,
    "errors_or_next_steps": "Need to extract packet length from hex string first",
    "hint_first_draft": "Look at the first few bytes of each hex string. You'll need to convert bytes 3-4 to find out how big each packet is.",
    "reflection": "The hint should be even more conversational and avoid technical terms while maintaining clarity about the next step",
    "hint": "Let's start by figuring out how big each packet is. Check out characters 4-8 in each line - they hold the size information you need!"
}</t>
  </si>
  <si>
    <t>The provided hint focuses on extracting size from characters 4-8, whereas the expected hint emphasizes continuing from IP address extraction and iterating over the data to gather relevant information. They do not align in intent.</t>
  </si>
  <si>
    <t>It suggests checking characters 4-8 for the size, which is only one next step rather than multiple actions.</t>
  </si>
  <si>
    <t>claude-3-5-sonnet-cot-w-explicit-steps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</si>
  <si>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 insert your solution below
    def ip_str_to_int(ip_str):
        parts = list(map(int, ip_str.split('.')))
        return (parts[0] &lt;&lt; 24) + (parts[1] &lt;&lt; 16) + (parts[2] &lt;&lt; 8) + parts[3]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</si>
  <si>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"thought_on_correctness": "The solution is incorrect as all test cases failed",
    "thought_on_completeness": "The solution is incomplete as it only has a helper function to convert IP strings to integers",
    "thought_on_next_steps": "After IP conversion function, need to parse the hex strings to extract packet length and IP addresses",
    "thought_on_errors": "No logic implemented yet to process hex strings or calculate byte totals",
    "hint_first_draft": "Look at extracting information from the hex strings. Try getting the packet length first - it's in bytes 3-4.",
    "reflection": "Hint focuses on immediate next step of parsing hex data, avoids giving exact solution, and keeps conversational tone",
    "hint": "Let's start by getting the packet length from the hex string. Look at bytes 3-4 - how can you convert those two hex digits to a number?"
}</t>
  </si>
  <si>
    <t>4.855970144271851</t>
  </si>
  <si>
    <t>The provided hint focuses narrowly on converting bytes 3-4 from hex to a number, whereas the expected hint is about iterating over the input data to extract relevant information (including IP addresses). They do not match in overall intention.</t>
  </si>
  <si>
    <t>It suggests only a single next step: converting two bytes (3-4) from hex into a number.</t>
  </si>
  <si>
    <t>No Python code is explicitly shown in the hint.</t>
  </si>
  <si>
    <t>{
    "thought_on_correctness": "Solution is incorrect as all test cases are failing",
    "thought_on_completeness": "Solution is incomplete. Only IP conversion function is implemented",
    "thought_on_next_steps": "Need to implement main logic to parse hex strings and extract packet lengths and IP addresses",
    "thought_on_errors": "No parsing of hex strings or packet length extraction is implemented",
    "hint_first_draft": "You'll need to extract information from the hex strings. Start by getting the packet length from bytes 3-4 of each header.",
    "reflection": "Hint focuses on immediate next step without giving away solution, keeps it simple and actionable",
    "hint": "Take a look at the packet length - it's hiding in those two bytes at positions 3-4. How could you extract that from the hex string?"
}</t>
  </si>
  <si>
    <t>The hint focuses on extracting relevant information (the packet length) from the IP packet, which aligns with the broader goal of extracting data from IP packets.</t>
  </si>
  <si>
    <t>It only suggests one main action (extract the length from bytes 3-4 of the hex string), which can be done in a single step.</t>
  </si>
  <si>
    <t>{
    "thought_on_correctness": "Solution is incorrect as all test cases failed",
    "thought_on_completeness": "Solution is incomplete. Only helper function for IP conversion is defined",
    "thought_on_next_steps": "Need to extract packet length, source IP, and destination IP from hex strings and implement main logic",
    "thought_on_errors": "No main logic implemented to process packet headers and calculate ratios",
    "hint_first_draft": "Start by extracting the packet length from bytes 3-4 of each hex string. You'll need to convert these hex digits to an integer.",
    "reflection": "Hint focuses on immediate next step without giving away solution. Keeps focus on packet length extraction as first step.",
    "hint": "Look at positions 4-8 in your hex string - those four characters hold the key to finding how big each packet is!"
}</t>
  </si>
  <si>
    <t>4.778093099594116</t>
  </si>
  <si>
    <t>The provided hint focuses solely on extracting the size from positions 4-8 in the hex string, whereas the expected hint involves a broader approach of iterating over data and parsing IP packet information, so they do not match in intent.</t>
  </si>
  <si>
    <t>The hint only suggests one next step (checking positions 4-8 for the size), so it does not propose multiple actions.</t>
  </si>
  <si>
    <t>The hint does not include any Python code or code snippets.</t>
  </si>
  <si>
    <t>gpt-4o-mini</t>
  </si>
  <si>
    <t>gpt-4o-mini-cot-w-explicit-steps</t>
  </si>
  <si>
    <t>{
  "thought_on_correctness": "is solution correct based on the test case results",
  "thought_on_completeness": "is solution complete",
  "thought_on_next_steps": "if solution is incomplete, what is the likely next step",
  "thought_on_errors": "find any errors in the solution",
  "hint_first_draft": "Your function currently doesn't return anything, which causes the failures. Ensure to calculate and return the proper ratio.",
  "reflection": "The test results indicate that the function doesn't produce output, indicating an incomplete solution. The immediate action is to ensure that a return statement with the calculated ratio is included.",
  "hint": "Make sure to calculate and return the ratio at the end of your function."
}</t>
  </si>
  <si>
    <t>2.5617001056671143</t>
  </si>
  <si>
    <t>The provided hint focuses on calculating a ratio, whereas the expected hint emphasizes iterating over input data to extract IP packet information. They do not match in intention.</t>
  </si>
  <si>
    <t>The hint only suggests a single action: calculate and return the ratio.</t>
  </si>
  <si>
    <t>No Python code or snippets are provided in the hint.</t>
  </si>
  <si>
    <t>{
  "thought_on_correctness": "is solution correct based on the test case results",
  "thought_on_completeness": "is solution complete",
  "thought_on_next_steps": "if solution is incomplete, what is the likely next step",
  "thought_on_errors": "find any errors in the solution",
  "hint_first_draft": "It looks like you haven't completed the full solution. Focus on what needs to happen after converting the IPs.",
  "reflection": "The student's solution is incomplete as it lacks the implementation for computing totals and the final result. The hint should guide them to take the next step toward completing the solution.",
  "hint": "Continue by implementing the part that calculates total bytes based on the source and destination IPs."
}</t>
  </si>
  <si>
    <t>2.5579662322998047</t>
  </si>
  <si>
    <t>The provided hint aligns with the expected hint‚Äôs overall goal of extracting relevant information from IP packets (in this case, total bytes).</t>
  </si>
  <si>
    <t>It suggests a single step: implementing the calculation of total bytes based on source and destination IPs.</t>
  </si>
  <si>
    <t>No Python code or specific code snippets are included in the hint.</t>
  </si>
  <si>
    <t>{
  "thought_on_correctness": "is solution correct based on the test case results",
  "thought_on_completeness": "is solution complete",
  "thought_on_next_steps": "if solution is incomplete, what is the likely next step",
  "thought_on_errors": "find any errors in the solution",
  "hint_first_draft": "The function currently returns None; you'll need to ensure that it provides the correct output format.",
  "reflection": "The solution is incomplete because it doesn't provide any output. I focused on identifying the need for a return statement or output. The hint guides the student to the immediate next step.",
  "hint": "Make sure to add a return statement to output the computed ratio in the correct format."
}</t>
  </si>
  <si>
    <t>5.919430732727051</t>
  </si>
  <si>
    <t>The expected hint is about iterating over input data and extracting info from IP packets, but the given hint focuses only on adding a return statement for a computed ratio.</t>
  </si>
  <si>
    <t>The hint only suggests a single step: adding a return statement.</t>
  </si>
  <si>
    <t>The hint does not include any actual Python code or snippets.</t>
  </si>
  <si>
    <t>gpt-4o</t>
  </si>
  <si>
    <t>gpt-4o-cot</t>
  </si>
  <si>
    <t>```json
{
  "thought": "The solution is incorrect because all test cases failed. The solution is incomplete, indicated by the placeholder comment without processing the input or returning any output.",
  "is_complete": false,
  "is_correct": false,
  "errors_or_next_steps": "Incomplete solution lacks processing logic for IP conversion and byte calculation.",
  "hint": "Consider implementing logic to extract and convert IP addresses and compute packet lengths."
}
```</t>
  </si>
  <si>
    <t>2.865816831588745</t>
  </si>
  <si>
    <t>Both the given hint and the expected hint discuss extracting IP addresses from data, and the given hint also covers computing packet length which is consistent with extracting relevant info from IP packets.</t>
  </si>
  <si>
    <t>It suggests more than one action: extracting and converting IP addresses, and also computing packet lengths.</t>
  </si>
  <si>
    <t>No explicit Python code or snippets are provided.</t>
  </si>
  <si>
    <t>```json
{
  "thought": "The solution is incorrect as none of the test cases passed. The function is incomplete and only includes a helper to convert IP strings to integers. The next step is to implement the part that extracts relevant data from packet headers.",
  "is_complete": false,
  "is_correct": false,
  "errors_or_next_steps": "The solution lacks implementation to process the packet headers.",
  "hint": "Start by extracting the packet length and IP addresses from the headers."
}
```</t>
  </si>
  <si>
    <t>2.7354886531829834</t>
  </si>
  <si>
    <t>The hint aligns with the goal of extracting information (IP addresses and other metadata) from the data, matching the intent of the expected hint.</t>
  </si>
  <si>
    <t>It suggests two actions: extracting the packet length and IP addresses, which are distinct steps.</t>
  </si>
  <si>
    <t>No Python code or snippets are included in the hint.</t>
  </si>
  <si>
    <t>```json
{
  "thought": "The solution is incorrect based on the test results as all test cases failed. The solution is also incomplete since it only includes a helper function for converting IP addresses to integers and lacks the core logic for processing IPv4 headers.",
  "is_complete": false,
  "is_correct": false,
  "errors_or_next_steps": "The student needs to parse the hex string to extract the packet length and IP addresses.",
  "hint": "Focus on extracting packet length and IP addresses from each header."
}
```</t>
  </si>
  <si>
    <t>3.168861150741577</t>
  </si>
  <si>
    <t>The hint aligns with the intention of retrieving packet details (IP addresses, lengths) from input, matching the core objective of extracting relevant information from IP packets.</t>
  </si>
  <si>
    <t>It separately calls out extracting both packet length and IP addresses, effectively suggesting more than one action.</t>
  </si>
  <si>
    <t>No specific Python code or snippets are provided in the hint.</t>
  </si>
  <si>
    <t>gpt-4o-cot-and-reflection</t>
  </si>
  <si>
    <t>```json
{
  "thought": "The test case results indicate that the student's solution is incorrect since no test cases passed. The solution seems incomplete, as it only contains a function for converting IP addresses to integers. The most immediate next step is to proceed with extracting and processing packet length and IP addresses from the provided data.",
  "is_complete": false,
  "is_correct": false,
  "errors_or_next_steps": "Extract packet length and IP addresses from the hex strings.",
  "hint_first_draft": "Focus on extracting packet length and IP addresses from the packet header first.",
  "reflection": "The hint focuses on the apparent gap in the student's initial steps: extracting necessary information from the hex strings. This step is crucial to proceed with solving the problem, as it lays the foundation for the rest of the operations.",
  "hint": "Focus on extracting packet length and IP addresses from the packet header first."
}
```</t>
  </si>
  <si>
    <t>7.163588047027588</t>
  </si>
  <si>
    <t>Both the given and expected hints focus on extracting IP-related information and packet details from the input data.</t>
  </si>
  <si>
    <t>The hint suggests two distinct actions: extracting packet length and extracting IP addresses, thus more than one step.</t>
  </si>
  <si>
    <t>The hint does not include any Python code or code snippets; it is conceptual.</t>
  </si>
  <si>
    <t>```json
{
  "thought": "The test cases show that the student's solution did not produce any valid outputs, indicating a syntax or structural issue. The function is supposed to return a value but currently returns nothing. This suggests the solution is incomplete.",
  "is_complete": false,
  "is_correct": false,
  "errors_or_next_steps": "The solution lacks processing the packet headers or a return statement.",
  "hint_first_draft": "Consider starting with iterating through the hexadecimal data to extract packet information.",
  "reflection": "The hint should address the absence of logic to process input data and calculate the required totals. Guiding the student to iterate over the data is crucial.",
  "hint": "Consider starting with iterating through the hexadecimal data to extract packet information."
}
```</t>
  </si>
  <si>
    <t>5.859709024429321</t>
  </si>
  <si>
    <t>Both the provided hint and the expected hint focus on iterating over the input data (hexadecimal vs. input data) to extract packet or IP-related information, thus aligning in overall intention.</t>
  </si>
  <si>
    <t>The hint only suggests a single step‚Äîiterating to extract packet info‚Äîrather than multiple discrete next steps.</t>
  </si>
  <si>
    <t>The hint does not include any specific Python code or snippets; it merely gives a high-level instruction.</t>
  </si>
  <si>
    <t>```json
{
  "thought": "The solution is incorrect as none of the test cases passed. The student's solution is also incomplete since it only defines a function to convert an IP address from string to integer format. The immediate next step is to use this conversion function as part of the overall logic to extract IP addresses from packet headers.",
  "is_complete": false,
  "is_correct": false,
  "errors_or_next_steps": "Use the IP conversion function to extract IP addresses from hexadecimal packet headers.",
  "hint_first_draft": "Use the IP conversion function to extract IP addresses from hexadecimal packet headers.",
  "reflection": "The hint effectively guides the student to focus on leveraging their existing IP conversion function to address the key task of extracting IP addresses from the data, which is the next logical step in their incomplete solution.",
  "hint": "Use the IP conversion function to extract IP addresses from hexadecimal packet headers."
}
```</t>
  </si>
  <si>
    <t>6.785946846008301</t>
  </si>
  <si>
    <t>While it references using the IP conversion function, it omits the iteration and broader data extraction steps mentioned in the expected hint.</t>
  </si>
  <si>
    <t>It suggests only a single action (using the IP conversion function) rather than multiple steps.</t>
  </si>
  <si>
    <t>gpt-4o-cot-w-explicit-steps</t>
  </si>
  <si>
    <t>```json
{
  "thought_on_correctness": "The solution is incorrect based on the test case results as no test cases passed.",
  "thought_on_completeness": "The solution is incomplete as it doesn't provide the core functionality to solve the task.",
  "thought_on_next_steps": "The likely next step is to implement the logic that extracts packet length and checks IP ranges.",
  "thought_on_errors": "The current incomplete code only defines a helper function to convert IP addresses but lacks the main logic.",
  "hint_first_draft": "Try implementing the logic to extract packet length and compare IP addresses against the given ranges.",
  "reflection": "The hint is focused on guiding the student to implement the main logic, which is absent. The helper function alone isn't sufficient.",
  "hint": "Try implementing the logic to extract packet length and compare IP addresses against the given ranges."
}
```</t>
  </si>
  <si>
    <t>6.826780080795288</t>
  </si>
  <si>
    <t>The hint suggests extracting packet length and comparing IP addresses, which aligns with the overall idea of extracting relevant information from IP packets.</t>
  </si>
  <si>
    <t>It outlines two distinct steps: extracting the packet length and comparing IP addresses, making it more than a single action.</t>
  </si>
  <si>
    <t>The hint does not include any code examples or snippets.</t>
  </si>
  <si>
    <t>```json
{
  "thought_on_correctness": "The solution is incorrect because none of the test cases passed.",
  "thought_on_completeness": "The solution is incomplete since only a utility function is defined and the main logic is missing.",
  "thought_on_next_steps": "The next step is to implement the logic to iterate through each packet, extract relevant parts, and calculate totals.",
  "thought_on_errors": "The main logical structure for handling the computation of totals is missing from the solution.",
  "hint_first_draft": "Define the logic to iterate through each packet and extract the necessary packet length and IPs to perform the calculation.",
  "reflection": "The utility function for IP conversion is provided, but the solution lacks the main iterative logic needed to extract packet information and compute byte totals, as shown by all test cases failing.",
  "hint": "Define the logic to iterate through each packet and extract the necessary packet length and IPs to perform the calculation."
}
```</t>
  </si>
  <si>
    <t>4.759503126144409</t>
  </si>
  <si>
    <t>Both the given and expected hints instruct iterating over input data and extracting packet/IP information; they match in intention.</t>
  </si>
  <si>
    <t>The hint suggests multiple actions: iterating over packets, extracting packet length, and extracting IP addresses.</t>
  </si>
  <si>
    <t>```json
{
  "thought_on_correctness": "The solution is incorrect based on the test case results.",
  "thought_on_completeness": "The solution is incomplete.",
  "thought_on_next_steps": "Complete the function to calculate total bytes for specified IP ranges.",
  "thought_on_errors": "The function definition and logic are missing, leading to lack of output.",
  "hint_first_draft": "Start by iterating through each packet header and extract the necessary information to calculate the total bytes.",
  "reflection": "The hint focuses on directing the student to begin implementing the core functionality needed for solving the problem.",
  "hint": "Start by iterating through each packet header and extract the necessary information to calculate the total bytes."
}
```</t>
  </si>
  <si>
    <t>7.043169975280762</t>
  </si>
  <si>
    <t>The hint aligns with the expected hint to iterate through packet/header data and extract necessary information.</t>
  </si>
  <si>
    <t>It only suggests a single next step (iterating and extracting info) rather than multiple separate actions.</t>
  </si>
  <si>
    <t>No specific Python code or snippet is given in the hint.</t>
  </si>
  <si>
    <t>o3-mini</t>
  </si>
  <si>
    <t>o3-mini-no-cot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</si>
  <si>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 insert your solution below
    def ip_str_to_int(ip_str):
        parts = list(map(int, ip_str.split('.')))
        return (parts[0] &lt;&lt; 24) + (parts[1] &lt;&lt; 16) + (parts[2] &lt;&lt; 8) + parts[3]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</si>
  <si>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{"hint": "Your code is incomplete. Take the next step by extracting the packet length, source, and destination directly from the hex. Convert the required segments properly before checking the IP ranges."}</t>
  </si>
  <si>
    <t>5.257968187332153</t>
  </si>
  <si>
    <t>The hint aligns with the expected hint by directing the user to further extract and parse necessary IP packet details from the input.</t>
  </si>
  <si>
    <t>It suggests multiple actions: extracting various fields from the hex and converting them before proceeding.</t>
  </si>
  <si>
    <t>No Python code or explicit code snippets are provided in the hint.</t>
  </si>
  <si>
    <t>{"hint": "Your solution is incomplete. Next, add logic to extract and convert header fields from the hex string, then check the IPs against the given ranges and accumulate the byte counts."}</t>
  </si>
  <si>
    <t>7.775114059448242</t>
  </si>
  <si>
    <t>The given hint aligns with the expected hint‚Äôs objective of parsing IP packet data and applying logic (header field conversion, IP checks, and byte accumulation).</t>
  </si>
  <si>
    <t>It suggests multiple next steps: extracting and converting header fields, checking IPs, and accumulating byte counts.</t>
  </si>
  <si>
    <t>No Python code or specific implementation snippets are provided.</t>
  </si>
  <si>
    <t>{"hint": "Your solution is incomplete. Next, extract the required fields from the header, check if the IP falls within the specified ranges, and compute the packet totals."}</t>
  </si>
  <si>
    <t>12.620280027389526</t>
  </si>
  <si>
    <t>Both the given and expected hints emphasize extracting additional header fields and using them to process IP information, matching the core intention.</t>
  </si>
  <si>
    <t>The hint suggests multiple actions: extract fields, check IP range, and compute totals.</t>
  </si>
  <si>
    <t>questions/broken_firewall/2_incomplete.py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</si>
  <si>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ship_internal_bytes = 0
    passenger_wifi_bytes = 0
    # Function to convert IP address string to integer
    def ip_str_to_int(ip_str):
        parts = list(map(int, ip_str.split('.')))
        return (parts[0] &lt;&lt; 24) + (parts[1] &lt;&lt; 16) + (parts[2] &lt;&lt; 8) + parts[3]
    # Ship internal systems IP range (192.168.0.0 - 192.168.254.254)
    ship_internal_start = ip_str_to_int('192.168.0.0')
    ship_internal_end = ip_str_to_int('192.168.254.254')
    # Passenger wifi IP range (10.0.0.0 - 10.0.254.254)
    passenger_wifi_start = ip_str_to_int('10.0.0.0')
    passenger_wifi_end = ip_str_to_int('10.0.254.254')
    for packet in data:
        packet = packet.strip()
        if len(packet) &lt; 40:
            continue  # Skip invalid packets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</si>
  <si>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 "The solution is incomplete as it only sets up IP conversion and range checks but doesn't process the packet headers or extract lengths. It's missing packet length extraction and the final ratio calculation.",
    "is_complete": false,
    "is_correct": false,
    "errors_or_next_steps": "Missing packet length extraction from bytes 3-4 of hex string and IP address extraction from bytes 13-16 and 17-20",
    "hint": "Look at the packet header bytes 3-4. Try extracting this two-byte value from the hex string to get the packet length."
}</t>
  </si>
  <si>
    <t>3.586258888244629</t>
  </si>
  <si>
    <t>The hint directly instructs to extract the packet length by referencing bytes 3-4, which aligns with the expected hint of extracting packet length.</t>
  </si>
  <si>
    <t>The hint suggests only a single action: extracting the two-byte value from the hex string for the packet length.</t>
  </si>
  <si>
    <t>No specific code or Python snippet is provided in the hint.</t>
  </si>
  <si>
    <t>Next you need to extract packet length from each packet</t>
  </si>
  <si>
    <t>{
    "thought": "The solution is incomplete as it only sets up the IP conversion and range checks but doesn't process the packet length or calculate the ratio. The most immediate next step is to extract the packet length from the hex string.",
    "is_complete": false,
    "is_correct": false,
    "errors_or_next_steps": "Missing packet length extraction from bytes 3-4 of hex string",
    "hint": "Look at the hex string's first few bytes. The length is hidden in there! Try extracting characters from positions 3-4 and converting them from hex."
}</t>
  </si>
  <si>
    <t>The given hint and the expected hint both concern extracting the packet length from the data (positions 3-4).</t>
  </si>
  <si>
    <t>The hint suggests a single action (extracting and converting bytes 3-4 from hex), which can be done in one or two lines of code.</t>
  </si>
  <si>
    <t>No explicit Python code or snippets are provided; it only describes what to do in general terms.</t>
  </si>
  <si>
    <t>{
    "thought": "The solution is incomplete. The student has only set up IP conversion and range checks but hasn't implemented the core logic for extracting packet lengths and checking IPs from hex data. They need to extract packet length first.",
    "is_complete": false,
    "is_correct": false,
    "errors_or_next_steps": "Missing packet length extraction from hex string bytes 3-4",
    "hint": "Look at the packet length in bytes 3-4. Try converting those two hex characters to a decimal number to get the packet size."
}</t>
  </si>
  <si>
    <t>3.8093957901000977</t>
  </si>
  <si>
    <t>It instructs how to extract the packet length from the packet, aligning with the expected hint to extract packet length.</t>
  </si>
  <si>
    <t>It only provides a single step: convert bytes 3-4 from hex to decimal to get the packet size.</t>
  </si>
  <si>
    <t>No Python code or snippet is given; it's an instruction without sample code.</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</si>
  <si>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ship_internal_bytes = 0
    passenger_wifi_bytes = 0
    # Function to convert IP address string to integer
    def ip_str_to_int(ip_str):
        parts = list(map(int, ip_str.split('.')))
        return (parts[0] &lt;&lt; 24) + (parts[1] &lt;&lt; 16) + (parts[2] &lt;&lt; 8) + parts[3]
    # Ship internal systems IP range (192.168.0.0 - 192.168.254.254)
    ship_internal_start = ip_str_to_int('192.168.0.0')
    ship_internal_end = ip_str_to_int('192.168.254.254')
    # Passenger wifi IP range (10.0.0.0 - 10.0.254.254)
    passenger_wifi_start = ip_str_to_int('10.0.0.0')
    passenger_wifi_end = ip_str_to_int('10.0.254.254')
    for packet in data:
        packet = packet.strip()
        if len(packet) &lt; 40:
            continue  # Skip invalid packets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</si>
  <si>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 "The solution is incomplete - it's missing critical parts. The student has set up the IP range checking functions but hasn't implemented packet parsing or byte counting. They need to extract the packet length and process the source/destination IPs from the hex strings.",
    "is_complete": false,
    "is_correct": false,
    "errors_or_next_steps": "Need to parse hex string to extract packet length and IP addresses",
    "hint_first_draft": "Look at positions 3-4 in your hex string - that's where you'll find the total length. Try converting those two bytes from hex to decimal.",
    "reflection": "The hint focuses on the immediate next step (parsing packet length) without giving away the solution. It's specific enough to guide but requires student to figure out implementation.",
    "hint": "Take a closer look at those two bytes at positions 3-4. They hold the key to the packet's size - how might you convert them from hex to a number?"
}</t>
  </si>
  <si>
    <t>6.253719091415405</t>
  </si>
  <si>
    <t>The hint directs the user to look at bytes 3-4 and convert them to get the packet size, aligning with the expected hint of extracting the packet length.</t>
  </si>
  <si>
    <t>It suggests only one action: convert those bytes from hex to a number.</t>
  </si>
  <si>
    <t>No specific Python code or code snippet is provided.</t>
  </si>
  <si>
    <t>{
    "thought": "The solution is incomplete and incorrect. The student has set up IP range checks but hasn't implemented packet length extraction or completed the main processing loop. The immediate next step should be extracting the packet length from bytes 3-4.",
    "is_complete": false,
    "is_correct": false,
    "errors_or_next_steps": "Missing packet length extraction from hex string at bytes 3-4",
    "hint_first_draft": "Look at the packet header's third and fourth bytes - they hold the key to finding the total length. Try extracting these bytes and converting them to a decimal number.",
    "reflection": "The hint should be more conversational and less technical while still pointing them to the right direction about packet length",
    "hint": "Look at positions 4-7 in your hex string - that's where you'll find how big each packet is. Try getting that number first before checking addresses."
}</t>
  </si>
  <si>
    <t>7.0530970096588135</t>
  </si>
  <si>
    <t>It aligns with the expected hint of extracting the packet length; specifying positions 4-7 also matches the intent to find size.</t>
  </si>
  <si>
    <t>It instructs only one concrete action: extracting the length from positions 4-7.</t>
  </si>
  <si>
    <t>{
    "thought": "The solution is incomplete and incorrect. The main issue is that the student hasn't completed processing packet headers or returning the final ratio. They've set up IP range checking but haven't extracted packet lengths or processed the actual hex data.",
    "is_complete": false,
    "is_correct": false,
    "errors_or_next_steps": "Need to extract packet length from bytes 3-4 of hex string and process source/destination IPs from the hex data",
    "hint_first_draft": "Look at the packet header's bytes 3-4. How can you convert those two hex characters into the actual packet length?",
    "reflection": "The hint should focus on the immediate next step - getting the packet length from hex. It's specific enough to guide but doesn't give away the solution.",
    "hint": "You'll need to decode the packet length first - look at the two characters at position 3-4 in your hex string. Think about converting hex to decimal."
}</t>
  </si>
  <si>
    <t>5.830988168716431</t>
  </si>
  <si>
    <t>The hint aligns with the intention of extracting the packet length from a specific position in the hex string.</t>
  </si>
  <si>
    <t>It only suggests one action: extracting and converting the packet length.</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</si>
  <si>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ship_internal_bytes = 0
    passenger_wifi_bytes = 0
    # Function to convert IP address string to integer
    def ip_str_to_int(ip_str):
        parts = list(map(int, ip_str.split('.')))
        return (parts[0] &lt;&lt; 24) + (parts[1] &lt;&lt; 16) + (parts[2] &lt;&lt; 8) + parts[3]
    # Ship internal systems IP range (192.168.0.0 - 192.168.254.254)
    ship_internal_start = ip_str_to_int('192.168.0.0')
    ship_internal_end = ip_str_to_int('192.168.254.254')
    # Passenger wifi IP range (10.0.0.0 - 10.0.254.254)
    passenger_wifi_start = ip_str_to_int('10.0.0.0')
    passenger_wifi_end = ip_str_to_int('10.0.254.254')
    for packet in data:
        packet = packet.strip()
        if len(packet) &lt; 40:
            continue  # Skip invalid packets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</si>
  <si>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"thought_on_correctness": "The solution is incorrect as all test cases are failing",
    "thought_on_completeness": "The solution is incomplete - it only has the setup code and IP conversion function",
    "thought_on_next_steps": "Need to extract the packet length and IPs from the hex string and process them",
    "thought_on_errors": "The code stops after validating packet length, missing the main logic to parse hex data and calculate totals",
    "hint_first_draft": "Look at extracting values from the hex string. For each packet, you'll need to get the length from bytes 3-4, and source/destination IPs from their respective positions.",
    "reflection": "The hint should be more focused and specific to the immediate next step, avoiding technical terms where possible",
    "hint": "Try reading the packet length first - it's hidden in the middle of those two characters starting at position 4 in your string!"
}</t>
  </si>
  <si>
    <t>5.748664140701294</t>
  </si>
  <si>
    <t>The hint specifically points to extracting the packet length, aligning with the expected hint's goal.</t>
  </si>
  <si>
    <t>It only instructs to read the length from a certain position, which is a single action rather than multiple steps.</t>
  </si>
  <si>
    <t>No Python code snippets or syntax are provided in the hint.</t>
  </si>
  <si>
    <t>{
    "thought_on_correctness": "Solution is incorrect as all test cases failed",
    "thought_on_completeness": "Solution is incomplete",
    "thought_on_next_steps": "The code needs to extract the packet length and IP addresses from the hex string, and then process them",
    "thought_on_errors": "The code only defines helper functions but doesn't process the hex data or calculate totals",
    "hint_first_draft": "You need to extract information from the hex string. Look at the bytes that represent the packet length (bytes 3-4) and convert them from hex to decimal.",
    "reflection": "The hint should focus on the immediate next step, which is parsing the hex string. Made hint more conversational and avoided technical terms.",
    "hint": "Let's start by getting the packet size from the hex string. Each packet's size is hidden in bytes 3-4. Try extracting and converting these characters!"
}</t>
  </si>
  <si>
    <t>4.783347845077515</t>
  </si>
  <si>
    <t>The hint aligns with the expected instruction to extract the packet length from the packet data, specifically from bytes 3-4.</t>
  </si>
  <si>
    <t>It conveys a single step: extract and convert the size from bytes 3-4 of the hex string.</t>
  </si>
  <si>
    <t>It provides no direct code snippet or Python-specific implementation details.</t>
  </si>
  <si>
    <t>{
    "thought_on_correctness": "Solution is incorrect as all test cases failed",
    "thought_on_completeness": "Solution is incomplete. The code stops after validation checks but doesn't process packet data",
    "thought_on_next_steps": "Need to extract and process the source and destination IPs from the hex string",
    "thought_on_errors": "The main error is that the solution doesn't process the hex data to extract IPs and lengths from the packet headers",
    "hint_first_draft": "Look at the packet header format. You'll need to convert those hex characters into actual IP addresses. Try processing bytes 13-16 for source IP.",
    "reflection": "The hint should be more conversational and avoid technical terms. Focus on the immediate next step of handling the hex data.",
    "hint": "Hey! Your IP conversion function looks good, but now you need to actually read those packet details from the hex string. Start by looking at those source address bytes!"
}</t>
  </si>
  <si>
    <t>5.4449238777160645</t>
  </si>
  <si>
    <t>The expected hint is about extracting packet length, while the actual hint focuses on source address bytes. These are different tasks, so they do not match in intention.</t>
  </si>
  <si>
    <t>The hint only suggests a single action‚Äîlooking at the source address bytes‚Äîwithout mentioning multiple steps.</t>
  </si>
  <si>
    <t>No code snippets or Python-specific details are provided in the hint.</t>
  </si>
  <si>
    <t>{
  "thought_on_correctness": "is solution correct based on the test case results",
  "thought_on_completeness": "is solution complete",
  "thought_on_next_steps": "if solution is incomplete, what is the likely next step",
  "thought_on_errors": "find any errors in the solution",
  "hint_first_draft": "Remember to process each packet to calculate the total bytes and return the correct ratio.",
  "reflection": "The solution is incorrect as it did not pass any test cases. It also does not currently compute or return any results, indicating incompleteness in its logic and structure. The hint provided guides the student towards the next essential step.",
  "hint": "Remember to process each packet to calculate the total bytes and return the correct ratio."
}</t>
  </si>
  <si>
    <t>2.453948736190796</t>
  </si>
  <si>
    <t>The hint aligns with the need to handle each packet's size (i.e., extracting length) to get total bytes, which matches the intention of the expected hint.</t>
  </si>
  <si>
    <t>It suggests calculating total bytes and then returning a ratio, which are two separate actions.</t>
  </si>
  <si>
    <t>It does not contain any specific Python code or code snippet.</t>
  </si>
  <si>
    <t>```json
{
  "thought_on_correctness": "is solution correct based on the test case results",
  "thought_on_completeness": "is solution complete",
  "thought_on_next_steps": "if solution is incomplete, what is the likely next step",
  "thought_on_errors": "find any errors in the solution",
  "hint_first_draft": "It looks like your function isn't returning anything. Make sure to calculate the totals and return the ratio at the end.",
  "reflection": "Based on the failed test cases, the solution is incorrect, primarily due to it not returning the required output. The solution structure is complete, but it needs the result compiled and returned.",
  "hint": "Make sure to calculate the totals and return the ratio at the end."
}
```</t>
  </si>
  <si>
    <t>3.441004753112793</t>
  </si>
  <si>
    <t>The given hint focuses on calculating totals and returning a ratio, while the expected hint is about extracting packet length. They do not match in intention.</t>
  </si>
  <si>
    <t>The hint only describes a single action (calculating totals and returning a ratio).</t>
  </si>
  <si>
    <t>The hint does not include any Python code or snippets.</t>
  </si>
  <si>
    <t>```json
{
  "thought_on_correctness": "is solution incorrect based on the test case results",
  "thought_on_completeness": "is solution incomplete",
  "thought_on_next_steps": "You need to implement the logic that calculates the total bytes for both internal and passenger IPs.",
  "thought_on_errors": "You haven't included any logic to compute the bytes based on the conditions you've defined.",
  "hint_first_draft": "Don't forget to implement the logic to compute the total bytes based on the described conditions.",
  "reflection": "The solution has not implemented key parts of the logic, indicated by failing test cases. The hint suggests the next immediate step.",
  "hint": "Don't forget to implement the logic to compute the total bytes based on the described conditions."
}
```</t>
  </si>
  <si>
    <t>2.441422939300537</t>
  </si>
  <si>
    <t>The given hint focuses on computing total bytes rather than specifically instructing on extracting the packet length, which is the expected hint's intention.</t>
  </si>
  <si>
    <t>It only suggests a single step (compute total bytes) and does not break down multiple steps or details.</t>
  </si>
  <si>
    <t>No code snippets or explicit Python code are provided in the hint.</t>
  </si>
  <si>
    <t>```json
{
  "thought": "The solution is incorrect as none of the test cases passed. The solution is incomplete‚Äîit stops within a loop, lacks logic to compute totals and is missing any return statement.",
  "is_complete": false,
  "is_correct": false,
  "errors_or_next_steps": "Extend the function to extract packet length and IPs to compute totals.",
  "hint": "Consider how to extract packet length and IP addresses from the data for further calculations."
}
```</t>
  </si>
  <si>
    <t>The hint does mention extracting packet length, which matches the main intention of the expected hint, even though it also includes IP addresses.</t>
  </si>
  <si>
    <t>It suggests multiple actions: extracting both packet length and IP addresses.</t>
  </si>
  <si>
    <t>No Python code or concrete code snippets are provided in the hint.</t>
  </si>
  <si>
    <t>```json
{
  "thought": "The student's solution failed all test cases, indicating incorrect logic or missing implementation. The solution stops prematurely at an incomplete loop that doesn't calculate required values.",
  "is_correct": false,
  "is_complete": false,
  "errors_or_next_steps": "The loop iterating over packets is incomplete.",
  "hint": "Focus on completing the loop to process packet data and calculate byte totals."
}
```</t>
  </si>
  <si>
    <t>2.9002082347869873</t>
  </si>
  <si>
    <t>The hint focuses on completing the loop and calculating totals but does not specifically mention extracting the packet length, which the expected hint requires.</t>
  </si>
  <si>
    <t>It offers a single broad next step (completing the loop and computing byte totals), rather than multiple or detailed sub-steps.</t>
  </si>
  <si>
    <t>It does not include any Python code or snippets.</t>
  </si>
  <si>
    <t>```json
{
  "thought": "The solution is incorrect because all test cases failed. The code snippet provided in the solution is incomplete as there is no processing logic implemented for checking IP ranges or calculating packet bytes. Therefore, the immediate next step is to implement byte length extraction and checking IP range conditions.",
  "is_complete": false,
  "is_correct": false,
  "errors_or_next_steps": "The code doesn't include logic for extracting packet length or IP range checks.",
  "hint": "Focus on extracting the packet length and checking if the IPs fall within specified ranges."
}
```</t>
  </si>
  <si>
    <t>3.698375940322876</t>
  </si>
  <si>
    <t>The hint includes extracting the packet length, which aligns with the expected hint. It also adds checking IP ranges, but does not conflict with the main intention of extracting packet length.</t>
  </si>
  <si>
    <t>The hint suggests two actions (extract length and check IP ranges), making it multiple steps.</t>
  </si>
  <si>
    <t>The hint does not include any specific Python code snippets.</t>
  </si>
  <si>
    <t>```json
{
  "thought": "The test case results indicate the solution is incorrect as none of the test cases pass. Observing the code, the solution seems incomplete as it does not perform any operation to extract information from the packet headers or compute the byte sums. The logical next step would be completing the loop to parse and process each packet.",
  "is_complete": false,
  "is_correct": false,
  "errors_or_next_steps": "Focus on extracting and computing the packet length and IP addresses from each packet header.",
  "hint_first_draft": "Try adding code to extract and compute data like packet length and IP addresses from each packet header.",
  "reflection": "The incomplete nature of the solution is the primary issue to address. The hint directs the student towards parsing the given data, which is crucial for solving the problem.",
  "hint": "Try adding code to extract and compute data like packet length and IP addresses from each packet header."
}
```</t>
  </si>
  <si>
    <t>6.0730040073394775</t>
  </si>
  <si>
    <t>The hint includes extracting packet length, which aligns with the expected hint‚Äôs focus on packet length, although it also suggests IP address extraction.</t>
  </si>
  <si>
    <t>It proposes more than one action: extracting the packet length and also extracting IP addresses, thus covering multiple next steps.</t>
  </si>
  <si>
    <t>No specific Python code snippets or techniques are provided, just a general suggestion.</t>
  </si>
  <si>
    <t>```json
{
  "thought": "The test results indicate that none of the test cases passed, implying that there is a significant issue with the student's solution. The provided solution is incomplete as it currently processes packet headers only partially, lacking the logic to parse and accumulate the packet byte totals. The next immediate step should be to continue parsing the packet bytes according to the problem description.",
  "is_complete": false,
  "is_correct": false,
  "errors_or_next_steps": "The solution stops prematurely after checking packet length. Next, decode packet length and relevant IP bytes to implement the necessary calculations.",
  "hint_first_draft": "Keep progressing past packet validity checks. Focus on parsing bytes 3-4 to determine packet length and check if IPs match defined ranges.",
  "reflection": "The hint directs the student to the essential next steps without revealing the complete logic. This aims to encourage continued engagement while targeting critical areas of improvement in their partial solution.",
  "hint": "Keep progressing past packet validity checks. Focus on parsing bytes 3-4 to determine packet length and check if IPs match defined ranges."
}
```</t>
  </si>
  <si>
    <t>5.6119349002838135</t>
  </si>
  <si>
    <t>The hint addresses extracting packet length from bytes 3-4, which aligns with the expected hint to extract the packet length, even though it also includes checking IP ranges.</t>
  </si>
  <si>
    <t>It suggests multiple steps: continuing past validity checks, parsing the packet length, and checking IP ranges.</t>
  </si>
  <si>
    <t>No Python code snippets or specific language constructs are provided in the hint.</t>
  </si>
  <si>
    <t>```json
{
  "thought": "The solution hasn't passed any test cases and produces 'None' as output each time. This suggests that the function lacks a return statement. Starting with this syntax issue could set the solution on the right path to providing the correct result.",
  "is_complete": false,
  "is_correct": false,
  "errors_or_next_steps": "The function lacks a return statement.",
  "hint_first_draft": "Ensure the function returns a result, not just processes data.",
  "reflection": "Focusing on the absence of a return statement addresses the most fundamental syntax error and a crucial step towards producing the correct output, setting the ground for further logical fixes.",
  "hint": "Make sure your function actually returns the calculated output."
}
```</t>
  </si>
  <si>
    <t>4.713879108428955</t>
  </si>
  <si>
    <t>It focuses on returning the output rather than extracting packet lengths, so it does not match the expected hint's intention.</t>
  </si>
  <si>
    <t>It only suggests returning the output, which is a single action, not multiple steps.</t>
  </si>
  <si>
    <t>It does not include any code snippet or Python code.</t>
  </si>
  <si>
    <t>```json
{
  "thought_on_correctness": "The solution is incorrect based on the test case results as all test cases failed.",
  "thought_on_completeness": "The solution is incomplete since it doesn't execute completely and lacks final logic.",
  "thought_on_next_steps": "The solution should continue processing each packet to extract relevant fields like packet length and IPs.",
  "thought_on_errors": "The student's code doesn't process packet data beyond initial validation and doesn't produce an output.",
  "hint_first_draft": "Focus on extracting values from packet data, like length and IPs, and computing totals.",
  "reflection": "The hint guides the student towards exploring packet data further, essential for both classification and computation, while not revealing the full solution.",
  "hint": "Focus on extracting values from packet data, like length and IPs, and computing totals."
}
```</t>
  </si>
  <si>
    <t>4.133651971817017</t>
  </si>
  <si>
    <t>The hint does include extracting packet length, which matches the intention of the expected hint, although it also mentions IPs and totals.</t>
  </si>
  <si>
    <t>It suggests multiple actions (extract length, IPs, and compute totals).</t>
  </si>
  <si>
    <t>No specific Python code or snippet is provided.</t>
  </si>
  <si>
    <t>```json
{
  "thought_on_correctness": "is solution correct based on the test case results",
  "thought_on_completeness": "is solution complete",
  "thought_on_next_steps": "consider iterating through each packet and extracting the required information like packet length, source IP, and destination IP",
  "thought_on_errors": "the solution is incomplete and lacks logic for processing each IPv4 packet to compute totals",
  "hint_first_draft": "Ensure you are iterating through all packets and extracting packet length, source, and destination IP addresses.",
  "reflection": "The solution lacks implementation beyond initialization and loop setup. The hint guides on extracting necessary information from packets as a next step to rectify this.",
  "hint": "Ensure you are iterating through all packets and extracting packet length, source, and destination IP addresses."
}
```</t>
  </si>
  <si>
    <t>3.612575054168701</t>
  </si>
  <si>
    <t>The hint does mention extracting the packet length, which aligns with the expected hint's intention.</t>
  </si>
  <si>
    <t>It instructs multiple actions: iterating through all packets and extracting length, source, and destination IPs.</t>
  </si>
  <si>
    <t>No specific code or Python snippets are provided in the hint.</t>
  </si>
  <si>
    <t>```json
{
  "thought_on_correctness": "The solution is incorrect based on the test case results because it fails all test cases.",
  "thought_on_completeness": "The solution is incomplete, as it lacks the implementation to process packet data and calculate the required totals.",
  "thought_on_next_steps": "The student needs to extract packet lengths and source/destination IPs from each header and convert IPs to integers for comparison.",
  "thought_on_errors": "The code does not process each packet to extract the packet length and IPs, which are crucial steps for calculating the required totals.",
  "hint_first_draft": "Work on extracting and processing packet lengths and IP addresses from each packet header for comparison.",
  "reflection": "The initial hint identifies the missing steps to guide the student toward handling each packet correctly, which is essential for solving the problem.",
  "hint": "Work on extracting and processing packet lengths and IP addresses from each packet header for comparison."
}
```</t>
  </si>
  <si>
    <t>4.172783851623535</t>
  </si>
  <si>
    <t>The hint includes extracting the packet length as expected, even though it also mentions IP addresses.</t>
  </si>
  <si>
    <t>It suggests more than one action: extracting lengths and also processing IP addresses.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</si>
  <si>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ship_internal_bytes = 0
    passenger_wifi_bytes = 0
    # Function to convert IP address string to integer
    def ip_str_to_int(ip_str):
        parts = list(map(int, ip_str.split('.')))
        return (parts[0] &lt;&lt; 24) + (parts[1] &lt;&lt; 16) + (parts[2] &lt;&lt; 8) + parts[3]
    # Ship internal systems IP range (192.168.0.0 - 192.168.254.254)
    ship_internal_start = ip_str_to_int('192.168.0.0')
    ship_internal_end = ip_str_to_int('192.168.254.254')
    # Passenger wifi IP range (10.0.0.0 - 10.0.254.254)
    passenger_wifi_start = ip_str_to_int('10.0.0.0')
    passenger_wifi_end = ip_str_to_int('10.0.254.254')
    for packet in data:
        packet = packet.strip()
        if len(packet) &lt; 40:
            continue  # Skip invalid packets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</si>
  <si>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{"hint": "Your solution is incomplete. Try parsing the header to extract the packet length and the IP portions as the next step."}</t>
  </si>
  <si>
    <t>4.160468816757202</t>
  </si>
  <si>
    <t>The hint aligns with the expected intention (extract the packet length), albeit it also mentions extracting IP portions. It still directs the user to parse essential header information, matching the main intention.</t>
  </si>
  <si>
    <t>The hint suggests two actions: parsing for packet length and parsing IP portions, hence more than one next step.</t>
  </si>
  <si>
    <t>No direct code snippet or Python-specific detail (such as function calls or methods) is provided in the hint.</t>
  </si>
  <si>
    <t>{"hint": "It looks like you're missing the processing logic inside the loop. Try extracting the length and IPs from each packet, updating your totals, and formatting the final output."}</t>
  </si>
  <si>
    <t>5.543160915374756</t>
  </si>
  <si>
    <t>The hint explicitly mentions extracting the packet length, aligning with the expected hint's intention to focus on extracting the length from each packet.</t>
  </si>
  <si>
    <t>It suggests multiple actions: extracting length, extracting IPs, updating totals, and formatting output.</t>
  </si>
  <si>
    <t>It provides guidance but contains no specific Python code or code snippets.</t>
  </si>
  <si>
    <t>{
  "hint": "Your solution isn‚Äôt complete; you haven‚Äôt finished processing the packet data. Continue by extracting the header fields, converting them as needed, and updating the totals accordingly."
}</t>
  </si>
  <si>
    <t>3.4776899814605713</t>
  </si>
  <si>
    <t>The hint directs the developer to continue processing the packet data and extract needed information, which aligns with the intention of extracting key fields (including length). Although it's broader than just packet length, it still matches the general goal of continuing packet parsing.</t>
  </si>
  <si>
    <t>The hint suggests multiple actions: extracting header fields, converting them, and updating totals‚Äîmore than a single step.</t>
  </si>
  <si>
    <t>No explicit Python code or function calls are provided in the hint.</t>
  </si>
  <si>
    <t>questions/broken_firewall/3_incomplete.py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</si>
  <si>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import ipaddress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</si>
  <si>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 "The solution is incomplete as only the import statement is present. The student needs to start by parsing the hexadecimal packet headers to extract relevant information. The immediate next step would be to handle the hex string parsing.",
    "is_complete": false,
    "is_correct": false,
    "errors_or_next_steps": "No implementation beyond import statement. Need to start parsing hex strings.",
    "hint": "Start by extracting the length from bytes 3-4 of each packet header. Try converting those two hex characters to a decimal number."
}</t>
  </si>
  <si>
    <t>3.508533000946045</t>
  </si>
  <si>
    <t>The hint aligns with the goal of extracting information from IP packets by focusing on bytes 3-4, which is indeed relevant data.</t>
  </si>
  <si>
    <t>It suggests both extracting the length and converting it from hex to decimal, indicating two distinct actions.</t>
  </si>
  <si>
    <t>No explicit Python code or snippets are provided, just general instructions.</t>
  </si>
  <si>
    <t>You  need to iterate over input data and extract the relevant infromation from the ip packets</t>
  </si>
  <si>
    <t>{
    "thought": "The solution is incomplete as it only imports ipaddress module but has no implementation. First step is to process individual packets and extract the length, source IP, and destination IP from the hex strings.",
    "is_complete": false,
    "is_correct": false,
    "errors_or_next_steps": "Missing packet data extraction and processing logic",
    "hint": "Start by extracting the packet length from bytes 3-4 of each hex string. Try converting these two hex digits into a decimal number."
}</t>
  </si>
  <si>
    <t>3.367180109024048</t>
  </si>
  <si>
    <t>The hint focuses on extracting a piece of information (packet length) from the IP packets, aligning with the overall intention of extracting relevant data from IP packets.</t>
  </si>
  <si>
    <t>It only suggests a single action‚Äîextracting bytes 3-4 and converting them‚Äîrather than multiple distinct steps.</t>
  </si>
  <si>
    <t>No actual Python code or snippet is provided, only verbal instructions.</t>
  </si>
  <si>
    <t>{
    "thought": "The student has only imported ipaddress but hasn't written any actual solution code. They need to start by processing the hex strings and extracting the length and IP addresses.",
    "is_complete": false,
    "is_correct": false,
    "errors_or_next_steps": "Solution needs to start by extracting packet length from bytes 3-4 of hex string",
    "hint": "Let's start by getting the packet length. Try looking at the first hex string - you'll need to convert bytes 3-4 from hex to decimal."
}</t>
  </si>
  <si>
    <t>3.430694818496704</t>
  </si>
  <si>
    <t>The hint about extracting the packet length from bytes 3-4 is aligned with the broader goal of parsing IP packet information.</t>
  </si>
  <si>
    <t>It only describes one step (converting bytes 3-4 from hex to decimal) rather than multiple actions.</t>
  </si>
  <si>
    <t>No specific Python code or snippet is provided, just a general instruction.</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</si>
  <si>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import ipaddress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</si>
  <si>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 "The solution is incomplete - it only imports ipaddress module but has no implementation. Student needs guidance on starting the problem. Breaking down packet header parsing would be the first step.",
    "is_complete": false,
    "is_correct": false,
    "errors_or_next_steps": "No implementation yet. Need to start by extracting packet length and IP addresses from hex strings.",
    "hint_first_draft": "Let's begin by extracting data from each header. Focus on getting the packet length from bytes 3-4 of each hex string first.",
    "reflection": "The hint should be more conversational and specific to help student start without overwhelming them with all requirements at once.",
    "hint": "Hey! Let's start by getting the size of each packet. Try looking at bytes 3-4 of your hex string - how could you convert those two bytes to a number?"
}</t>
  </si>
  <si>
    <t>4.8842408657073975</t>
  </si>
  <si>
    <t>Focusing on bytes 3-4 to get the packet size is part of extracting relevant information from IP packets, which aligns with the overall intention.</t>
  </si>
  <si>
    <t>It only suggests a single step‚Äîexamining bytes 3-4 and converting them to a number.</t>
  </si>
  <si>
    <t>No Python code or direct snippets are provided in the hint.</t>
  </si>
  <si>
    <t>{
    "thought": "Looking at the solution, it's very incomplete. The student has only imported ipaddress but hasn't written any actual code. They need to start by extracting packet lengths and IP addresses from the hex strings.",
    "is_complete": false,
    "is_correct": false,
    "errors_or_next_steps": "No actual code implementation. Need to start by processing the hex strings to extract packet lengths.",
    "hint_first_draft": "Try starting by extracting the packet length from bytes 3-4 of each hex string. Each two characters in the hex string represents one byte.",
    "reflection": "The hint focuses on the first concrete step needed - getting packet lengths. It avoids giving away too much but provides clear direction.",
    "hint": "Look at characters 4-7 in each string - those four characters represent the packet length in hex. Can you convert that to a decimal number?"
}</t>
  </si>
  <si>
    <t>5.464022159576416</t>
  </si>
  <si>
    <t>The hint points to extracting packet-related data (the length) from the input, which aligns with the overall goal of parsing IP packet info.</t>
  </si>
  <si>
    <t>It suggests a single next step: extracting a substring and converting it to decimal.</t>
  </si>
  <si>
    <t>It does not contain any actual Python code or code snippet; it's only describing the process in words.</t>
  </si>
  <si>
    <t>{
    "thought": "The solution is incomplete as it only imports ipaddress module and has no implementation. Need to guide student towards first step of processing the header data to extract packet lengths.",
    "is_complete": false,
    "is_correct": false,
    "errors_or_next_steps": "No implementation for processing packet headers. Need to start with extracting packet length from bytes 3-4.",
    "hint_first_draft": "Look at bytes 3-4 of each header to get the packet length. Try converting these two hexadecimal characters to a decimal number.",
    "reflection": "First hint should focus on packet length extraction as it's the initial step needed before IP address processing. Made hint more general without mentioning specific hex conversion functions.",
    "hint": "Each packet's size is hidden in positions 3-4 of those long strings. Try focusing on getting those numbers first!"
}</t>
  </si>
  <si>
    <t>4.703229904174805</t>
  </si>
  <si>
    <t>The hint aligns with the intention of extracting relevant information from the packets, specifically focusing on the size in positions 3-4 of the strings.</t>
  </si>
  <si>
    <t>It suggests a single step (extracting positions 3-4) rather than multiple steps.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</si>
  <si>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import ipaddress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</si>
  <si>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"thought_on_correctness": "Solution is incorrect as all test cases failed",
    "thought_on_completeness": "Solution is incomplete, only has function definition and import statement",
    "thought_on_next_steps": "Need to parse the hex string to extract packet length, source IP, and destination IP",
    "thought_on_errors": "No implementation present to analyze for errors",
    "hint_first_draft": "Start by extracting the packet length from bytes 3-4. Try converting these two hex characters to a decimal number.",
    "reflection": "Hint focuses on the immediate first step needed, avoids giving explicit solution, and keeps it simple and actionable",
    "hint": "Let's start small! Look at those hex characters in positions 3-4. That's where you'll find how big each packet is."
}</t>
  </si>
  <si>
    <t>4.549108982086182</t>
  </si>
  <si>
    <t>The hint aligns with the idea of extracting information from IP packets by focusing on where to find the packet size (positions 3-4).</t>
  </si>
  <si>
    <t>It only suggests a single action: look at hex characters in positions 3-4.</t>
  </si>
  <si>
    <t>No specific Python code or snippet is provided, only a mention of hex character positions.</t>
  </si>
  <si>
    <t>{
    "thought_on_correctness": "The solution is incorrect as all test cases failed",
    "thought_on_completeness": "The solution is incomplete, only contains function definition and import statement",
    "thought_on_next_steps": "Need to start processing each header string by extracting packet length and IP addresses",
    "thought_on_errors": "No implementation yet, cannot identify logical errors",
    "hint_first_draft": "Start by extracting the packet length from bytes 3-4 of each header. Remember these are hex strings, so you'll need to convert them to numbers.",
    "reflection": "Since solution is incomplete, focusing on the first step which is extracting packet length. Kept hint conversational and avoided specific function names.",
    "hint": "Hey! Let's begin by getting the packet size from each header. Look at the two characters at positions 3-4 - they tell us how big each packet is!"
}</t>
  </si>
  <si>
    <t>The hint aligns with the goal of extracting relevant information from the IP packets by focusing on the packet size at positions 3-4.</t>
  </si>
  <si>
    <t>It only suggests one action (examining two characters to determine packet size) without outlining additional steps.</t>
  </si>
  <si>
    <t>No Python code or code snippet is provided; it's only a textual instruction.</t>
  </si>
  <si>
    <t>{
    "thought_on_correctness": "Solution is incorrect as all test cases failed",
    "thought_on_completeness": "Solution is incomplete as only the function definition and import statement are present",
    "thought_on_next_steps": "Student needs to extract packet length and IPs from the hex strings first",
    "thought_on_errors": "No implementation provided beyond function definition",
    "hint_first_draft": "Let's start by breaking down each packet header. Extract the bytes for packet length first - remember it's in bytes 3-4 of the hex string.",
    "reflection": "Hint is specific, actionable, and focuses on the immediate next step without giving away the solution",
    "hint": "Take a closer look at the packet length - try getting bytes 3-4 from each hex string and convert them to a number first."
}</t>
  </si>
  <si>
    <t>4.296003818511963</t>
  </si>
  <si>
    <t>The hint focuses on extracting information (the packet length) from each packet, which aligns with the intention of iterating over the input data and extracting relevant information from IP packets.</t>
  </si>
  <si>
    <t>It suggests a single step: isolate bytes 3-4 from each hex string and convert to a number, which can be done in under three lines of code.</t>
  </si>
  <si>
    <t>No specific Python code or snippets are included in the hint.</t>
  </si>
  <si>
    <t>```json
{
  "thought_on_correctness": "is solution correct based on the test case results",
  "thought_on_completeness": "is solution complete",
  "thought_on_next_steps": "if solution is incomplete, what is the likely next step",
  "thought_on_errors": "find any errors in the solution",
  "hint_first_draft": "You haven't provided any logic to process the packet headers. Consider implementing the calculations for packet lengths after parsing the data.",
  "reflection": "The solution is incomplete because it lacks any logic for handling the packet data. The provided hint points to a clear next step: write the logic to process the headers with the necessary calculations.",
  "hint": "You need to add logic to parse the packet headers and compute the required totals."
}
```</t>
  </si>
  <si>
    <t>2.3544111251831055</t>
  </si>
  <si>
    <t>Both the given hint and the expected hint focus on parsing IP packet data and extracting useful information from it (in this case, the headers) to compute totals.</t>
  </si>
  <si>
    <t>The hint asks for two actions: parsing packet headers and computing totals, which count as multiple steps.</t>
  </si>
  <si>
    <t>No Python code or specific code snippets are provided in the hint.</t>
  </si>
  <si>
    <t>```json
{
  "thought_on_correctness": "is solution incorrect based on the test case results",
  "thought_on_completeness": "is solution incomplete",
  "thought_on_next_steps": "the likely next step is to implement the logic for processing the packet headers",
  "thought_on_errors": "there are multiple logical shortcomings as the solution lacks the necessary processing and output features",
  "hint_first_draft": "Focus on adding the core logic to extract the packet length and IP addresses from the input strings.",
  "reflection": "The approach needed is to concentrate on rectifying the lack of packet processing logic since the output is currently None.",
  "hint": "Focus on adding the core logic to extract the packet length and IP addresses from the input strings."
}
```</t>
  </si>
  <si>
    <t>5.222189903259277</t>
  </si>
  <si>
    <t>The hint aligns with the expected hint by instructing to extract key information (IP addresses, packet length) from the input, matching the intention of collecting relevant data from IP packets.</t>
  </si>
  <si>
    <t>It suggests extracting both packet length and IP addresses, which are two distinct actions rather than a single step.</t>
  </si>
  <si>
    <t>```json
{
  "thought_on_correctness": "is solution correct based on the test case results",
  "thought_on_completeness": "is solution complete",
  "thought_on_next_steps": "if solution is incomplete, what is the likely next step",
  "thought_on_errors": "find any errors in the solution",
  "hint_first_draft": "You need to start building the logic to process the packet data and calculate totals.",
  "reflection": "The solution is incomplete as there is no processing logic to calculate the required totals and return the result. The immediate next step is to implement the main logic for packet analysis.",
  "hint": "You need to start building the logic to process the packet data and calculate totals."
}
```</t>
  </si>
  <si>
    <t>2.4197230339050293</t>
  </si>
  <si>
    <t>The given hint aligns with the overall goal of handling packet data and obtaining results, which is consistent with extracting information from IP packets.</t>
  </si>
  <si>
    <t>The hint only gives a single broad action (process data and calculate totals) rather than multiple explicit next steps.</t>
  </si>
  <si>
    <t>No Python code or code snippets are provided in the hint.</t>
  </si>
  <si>
    <t>```json
{
  "thought": "The student's solution does not pass any test cases, all of which result in 'None' as actual output. This indicates a likely issue with the lack of a return statement or the function's logic being incomplete as it doesn't produce any meaningful result.",
  "is_complete": false,
  "is_correct": false,
  "errors_or_next_steps": "The solution appears incomplete as it didn't return any output.",
  "hint": "Check if the function ends with an appropriate return statement to output the results."
}
```</t>
  </si>
  <si>
    <t>3.9821760654449463</t>
  </si>
  <si>
    <t>The given hint focuses on verifying the return statement, while the expected hint is about iterating and extracting information from IP packets. They do not match in intention.</t>
  </si>
  <si>
    <t>It suggests only one action (checking the return statement), not multiple next steps.</t>
  </si>
  <si>
    <t>```json
{
  "thought": "The student's solution is wrong since it produced 'None' for all test cases. It seems the function definition is present but no logic or steps have been implemented yet. The solution is incomplete and they should focus on adding logic to parse and analyze IPv4 packets.",
  "is_complete": false,
  "is_correct": false,
  "errors_or_next_steps": "Add logic to extract packet length, source, and destination IPs from packet headers.",
  "hint": "Start by implementing the logic to parse the packet headers to extract the necessary fields for analysis."
}
```</t>
  </si>
  <si>
    <t>4.0141236782073975</t>
  </si>
  <si>
    <t>Both the given and expected hints focus on extracting necessary information from packet data.</t>
  </si>
  <si>
    <t>The hint provides only one action: parse the packet headers to extract fields.</t>
  </si>
  <si>
    <t>```json
{
  "thought": "The solution is incorrect because all test cases failed. The errors or next steps indicate an incomplete solution since the implementation stops after import statements. Therefore, a next step should focus on implementing packet processing logic.",
  "is_complete": false,
  "is_correct": false,
  "errors_or_next_steps": "The solution stops at the import statement without processing any packets.",
  "hint": "Start iterating through each packet header to begin extracting the packet length and IP addresses."
}
```</t>
  </si>
  <si>
    <t>2.1922028064727783</t>
  </si>
  <si>
    <t>The hint aligns with the expected action to iterate over the data and extract packet information, matching the overall intention.</t>
  </si>
  <si>
    <t>The hint presents only a single combined action (iterating and extracting), rather than multiple distinct steps.</t>
  </si>
  <si>
    <t>No actual Python code or snippets are included in the hint.</t>
  </si>
  <si>
    <t>```json
{
  "thought": "Based on the test case results, none of the cases passed, which indicates the solution is incorrect. The function definition is present, but the solution implementation is incomplete, stopping after an import statement. The next immediate step involves processing the input data.",
  "is_complete": false,
  "is_correct": false,
  "errors_or_next_steps": "The solution is incomplete and missing logic to process packet headers.",
  "hint_first_draft": "Start by extracting data from the packet headers using the specified byte locations.",
  "reflection": "The hint directs the student to the next actionable step, which is to focus on extracting data from the packet headers, a crucial step they missed.",
  "hint": "Start by extracting data from the packet headers using the specified byte locations."
}
```</t>
  </si>
  <si>
    <t>3.5896289348602295</t>
  </si>
  <si>
    <t>Both the given hint and the expected hint focus on extracting information from IP packets, so they match in intention.</t>
  </si>
  <si>
    <t>The hint only suggests one step‚Äîextracting data from specified byte locations‚Äîrather than multiple distinct steps.</t>
  </si>
  <si>
    <t>```json
{
  "thought": "The test cases all fail, so the solution is incorrect. The solution is incomplete with only the import statement. The next step should be reading the packet length and IP addresses from the data.",
  "is_complete": false,
  "is_correct": false,
  "errors_or_next_steps": "Begin by retrieving and interpreting the packet length and IP addresses from the headers.",
  "hint_first_draft": "Start by extracting the packet length and IP addresses from the provided data.",
  "reflection": "I focused on identifying the immediate step for a student with an incomplete solution‚Äîto move towards processing the packet headers. The hint remains focused and actionable without providing explicit solution steps.",
  "hint": "Start by extracting the packet length and IP addresses from the provided data."
}
```</t>
  </si>
  <si>
    <t>3.3071320056915283</t>
  </si>
  <si>
    <t>The hint aligns with the expected hint by directing the user to extract relevant IP-related information (packet length and IP addresses).</t>
  </si>
  <si>
    <t>It involves two distinct pieces of information to be extracted: length and addresses, representing more than one action.</t>
  </si>
  <si>
    <t>No explicit code or snippets are provided, only a general instruction.</t>
  </si>
  <si>
    <t>```json
{
  "thought": "The solution is incorrect because all test cases failed. Additionally, since the implementation is very basic with only the module import, the solution is incomplete. The next step should be to focus on extracting and converting the packet length from the header.",
  "is_complete": false,
  "is_correct": false,
  "errors_or_next_steps": "Extract the 16-bit packet length from the specified bytes in the header.",
  "hint_first_draft": "Start by extracting and converting the packet length from the header.",
  "reflection": "After reviewing the task and the student's initial attempt, it's clear that the extraction and conversion of packet details is the logical next step to proceed. The hint is helpful as it guides the student towards implementing the core part of the logic.",
  "hint": "Start by extracting and converting the packet length from the header."
}
```</t>
  </si>
  <si>
    <t>3.4760499000549316</t>
  </si>
  <si>
    <t>The hint covers a part of the intended goal (extracting information from IP packets) by focusing on the packet length from the header, which aligns with the general intention.</t>
  </si>
  <si>
    <t>The hint suggests only one concrete step (extracting packet length) and does not propose multiple actions.</t>
  </si>
  <si>
    <t>The hint does not provide any specific code or Python snippets.</t>
  </si>
  <si>
    <t>```json
{
  "thought_on_correctness": "The solution is incorrect based on the test case results.",
  "thought_on_completeness": "The solution is incomplete.",
  "thought_on_next_steps": "The next step is to parse and process the input hex strings to extract the necessary fields.",
  "thought_on_errors": "The function is incomplete and does not perform any operations on the input.",
  "hint_first_draft": "Start by extracting the relevant fields from each hexadecimal header.",
  "reflection": "The student's solution is lacking any substantial processing or logic, leading to immediate failure in the tests. The provided hint focuses on starting the process of parsing the provided data, which is the crucial first step.",
  "hint": "Start by extracting the relevant fields from each hexadecimal header."
}
```</t>
  </si>
  <si>
    <t>3.2738759517669678</t>
  </si>
  <si>
    <t>The hint aligns with the overall intention of parsing/extracting information from IP packet data (represented here as a hexadecimal header).</t>
  </si>
  <si>
    <t>The hint only advises to extract fields from the headers; it does not suggest additional distinct steps.</t>
  </si>
  <si>
    <t>```json
{
  "thought_on_correctness": "The solution is incorrect based on the test case results.",
  "thought_on_completeness": "The solution is incomplete.",
  "thought_on_next_steps": "The next step is to read the packet lengths and IP addresses from the headers.",
  "thought_on_errors": "The function does not read packet headers or IP addresses from the input.",
  "hint_first_draft": "Make sure you are extracting the packet lengths and IP addresses from the input strings.",
  "reflection": "The student's solution only imports a library without processing the input data; guiding them to extract necessary details from each header is essential.",
  "hint": "Make sure you are extracting the packet lengths and IP addresses from the input strings."
}
```</t>
  </si>
  <si>
    <t>3.2115731239318848</t>
  </si>
  <si>
    <t>The provided hint focuses on extracting packet lengths and IP addresses from the input strings, which matches the overall intention of extracting key information from IP packets.</t>
  </si>
  <si>
    <t>The hint only instructs extracting two elements (packet lengths and IP addresses) and doesn't introduce multiple or detailed next steps.</t>
  </si>
  <si>
    <t>No specific code or snippets are provided in the hint.</t>
  </si>
  <si>
    <t>```json
{
  "thought_on_correctness": "The solution is incorrect based on the test case results.",
  "thought_on_completeness": "The solution is incomplete.",
  "thought_on_next_steps": "The student should start by processing each packet to extract the relevant fields using the hexadecimal strings, focusing first on packet length.",
  "thought_on_errors": "Since the code is incomplete, it's not reaching any computation or decision points.",
  "hint_first_draft": "Begin by extracting the packet length from the specified bytes in the header and consider iterating over each packet to perform this extraction.",
  "reflection": "The student's solution hasn't started processing the packet data as described in the problem, which is why the output doesn't match expectations. It's crucial to guide them towards the first logical step to handle this.",
  "hint": "Begin by extracting the packet length from the specified bytes in the header and consider iterating over each packet to perform this extraction."
}
```</t>
  </si>
  <si>
    <t>4.5654520988464355</t>
  </si>
  <si>
    <t>The hint appropriately aligns with the expected hint: both recommend iterating over the data and extracting information (here, specifically the packet length).</t>
  </si>
  <si>
    <t>It advises one primary action (extract length) done in a loop. There is no separate additional step beyond iterating and extracting.</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</si>
  <si>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import ipaddress
Test Case Results:
{'testCases': [{'actualOutput': 'None', 'passed': False, 'userPrints': '', 'testCase': {'input': ['450000640000000083069f3fc0a80001c0a80002', '450000c80000000083069f3f0A0000010A000002', '4500012c0000000083069f3fc0a800030A000003', '450001900000000083069f3f0A000004c0a80004'], 'expectedOutput': '800/900', 'description': 'simple test'}}, {'actualOutput': 'None',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'None',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</si>
  <si>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"hint": "Your code only imports a library without processing data. Next, convert the hex string into bytes and extract the needed fields at the correct byte offsets."
}</t>
  </si>
  <si>
    <t>4.092526912689209</t>
  </si>
  <si>
    <t>Both the provided and expected hints point to parsing the input data (represented as hex) to extract relevant fields or information from IP packets, aligning in overall intention.</t>
  </si>
  <si>
    <t>The hint suggests two steps: converting hex to bytes and extracting fields at specific offsets, indicating more than one action.</t>
  </si>
  <si>
    <t>No actual code or Python snippets were provided; it only describes what to do without showing how.</t>
  </si>
  <si>
    <t>{"hint": "Your solution is incomplete. Next, try extracting the header fields from the hexadecimal string to get the packet length and both IP addresses."}</t>
  </si>
  <si>
    <t>3.501657009124756</t>
  </si>
  <si>
    <t>The hint aligns with the goal of parsing the input data to extract IP packet details (length and IP addresses), which matches the expected guidance.</t>
  </si>
  <si>
    <t>It suggests only one next step (extracting header fields) rather than multiple distinct actions.</t>
  </si>
  <si>
    <t>{
  "hint": "Your solution is incomplete. Start by extracting the required segments from each header to compute packet lengths and IP addresses for range checks."
}</t>
  </si>
  <si>
    <t>The hint aligns with the expected hint by advising to extract relevant information from the IP headers to compute lengths and check addresses.</t>
  </si>
  <si>
    <t>It indicates extracting segments for both packet lengths and IP addresses, implying multiple sub-steps.</t>
  </si>
  <si>
    <t>No explicit Python code or snippets are provided in the hint.</t>
  </si>
  <si>
    <t>questions/broken_firewall/1_logical.py</t>
  </si>
  <si>
    <t>logical</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</si>
  <si>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 insert your solution below
    def ip_str_to_int(ip_str):
        parts = list(map(int, ip_str.split('.')))
        return (parts[0] &lt;&lt; 24) + (parts[1] &lt;&lt; 16) + (parts[2] &lt;&lt; 8) + parts[3]
    def hex_to_int(hex_str):
        res = 0
        hex_str = hex_str[::-1]
        for place in range(len(hex_str)):
            val = 0
            if hex_str[place] == 'a':
                val = 10
            elif hex_str[place] == 'b':
                val = 11
            elif hex_str[place] == 'c':
                val = 12
            elif hex_str[place] == 'd':
                val = 13
            elif hex_str[place] == 'e':
                val = 14
            elif hex_str[place] == 'f':
                val = 15
            else:
                val = int(hex_str[place])
            res = res + val*pow(16, place)
        return res
    passenger = 0
    system = 0
    for packet in data:
        # convert hexadecimal string to integer number
        src_adr = hex_to_int(packet[24:32].lower())
        dst_adr = hex_to_int(packet[32:40].lower())
        pkt_len = hex_to_int(packet[4:8].lower())
        min_passenger_address = ip_str_to_int('10.0.0.0')
        max_passenger_address = ip_str_to_int('10.0.254.254')
        min_system_address = ip_str_to_int('192.168.0.0')
        max_system_address = ip_str_to_int('192.168.254.254')
        if src_adr &lt;= min_passenger_address and src_adr &gt;= max_passenger_address:
            passenger += pkt_len
        elif dst_adr &lt;= min_passenger_address and dst_adr &gt;= max_passenger_address:
            passenger += pkt_len
        if src_adr &gt;= min_system_address and src_adr &lt;= max_system_address:
            system += pkt_len
        elif dst_adr &gt;= min_system_address and dst_adr &lt;= max_system_address:
            system += pkt_len
    return f"{system}/{passenger}"
Test Case Results:
{'testCases': [{'actualOutput': '800/0', 'passed': False, 'userPrints': '', 'testCase': {'input': ['450000640000000083069f3fc0a80001c0a80002', '450000c80000000083069f3f0A0000010A000002', '4500012c0000000083069f3fc0a800030A000003', '450001900000000083069f3f0A000004c0a80004'], 'expectedOutput': '800/900', 'description': 'simple test'}}, {'actualOutput': '1300/0',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'65542/0',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</si>
  <si>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 "The solution is complete but incorrect. Looking at test results, passenger total is always 0. The main issue is in the passenger IP check condition where the comparison operators are reversed (&lt;=, &gt;=) which makes the condition impossible.",
    "is_complete": true,
    "is_correct": false,
    "errors_or_next_steps": "Logical error in passenger IP range check where comparison operators are incorrectly used",
    "hint": "Check your passenger IP range condition. Think about what happens when you say 'x is less than minimum AND x is greater than maximum'. Is this logically possible?"
}</t>
  </si>
  <si>
    <t>3.8884830474853516</t>
  </si>
  <si>
    <t>The hint points out that the passenger source IP condition is incorrect, which matches the expected hint of incorrect address range usage.</t>
  </si>
  <si>
    <t>It only suggests checking and correcting the IP range condition (a single step).</t>
  </si>
  <si>
    <t>Incorrect address range used for passenger source ip addresses</t>
  </si>
  <si>
    <t>{
    "thought": "The solution is complete but incorrect. Looking at test results, passenger bytes are always 0. The if conditions for passenger IP checks are incorrectly using &lt;= and &gt;= which reverses the range check logic.",
    "is_complete": true,
    "is_correct": false,
    "errors_or_next_steps": "Logic error in passenger IP range check conditions",
    "hint": "Check your passenger IP range conditions. When checking if a number is within a range, think about which comparison operators would include numbers between the min and max values."
}</t>
  </si>
  <si>
    <t>4.434322834014893</t>
  </si>
  <si>
    <t>The hint clearly points to the passenger IP range check being incorrect, which aligns with the expected hint about incorrect passenger address range usage.</t>
  </si>
  <si>
    <t>It offers a single course of action: to verify and correct the comparison operators for the passenger IP range check.</t>
  </si>
  <si>
    <t>{
    "thought": "The solution is complete but incorrect. The main logical error is in the passenger IP range check condition. The comparison operators are reversed, making it impossible for any IP to fall within the passenger range.",
    "is_complete": true,
    "is_correct": false,
    "errors_or_next_steps": "Incorrect comparison operators in passenger IP range check",
    "hint": "Take a closer look at your range conditions for passenger IPs. When checking if a number is within a range, should you use &lt;= and &gt;= or &gt;= and &lt;=?"
}</t>
  </si>
  <si>
    <t>3.5848770141601562</t>
  </si>
  <si>
    <t>The hint aligns with identifying the incorrect comparison for the passenger IP ranges, matching the expected intention of pointing out the wrong order of range checks.</t>
  </si>
  <si>
    <t>It provides only one next step: fixing the condition used for the passenger IP range.</t>
  </si>
  <si>
    <t>No specific Python code or snippets are included; it only poses a question about the comparison operators.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</si>
  <si>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 insert your solution below
    def ip_str_to_int(ip_str):
        parts = list(map(int, ip_str.split('.')))
        return (parts[0] &lt;&lt; 24) + (parts[1] &lt;&lt; 16) + (parts[2] &lt;&lt; 8) + parts[3]
    def hex_to_int(hex_str):
        res = 0
        hex_str = hex_str[::-1]
        for place in range(len(hex_str)):
            val = 0
            if hex_str[place] == 'a':
                val = 10
            elif hex_str[place] == 'b':
                val = 11
            elif hex_str[place] == 'c':
                val = 12
            elif hex_str[place] == 'd':
                val = 13
            elif hex_str[place] == 'e':
                val = 14
            elif hex_str[place] == 'f':
                val = 15
            else:
                val = int(hex_str[place])
            res = res + val*pow(16, place)
        return res
    passenger = 0
    system = 0
    for packet in data:
        # convert hexadecimal string to integer number
        src_adr = hex_to_int(packet[24:32].lower())
        dst_adr = hex_to_int(packet[32:40].lower())
        pkt_len = hex_to_int(packet[4:8].lower())
        min_passenger_address = ip_str_to_int('10.0.0.0')
        max_passenger_address = ip_str_to_int('10.0.254.254')
        min_system_address = ip_str_to_int('192.168.0.0')
        max_system_address = ip_str_to_int('192.168.254.254')
        if src_adr &lt;= min_passenger_address and src_adr &gt;= max_passenger_address:
            passenger += pkt_len
        elif dst_adr &lt;= min_passenger_address and dst_adr &gt;= max_passenger_address:
            passenger += pkt_len
        if src_adr &gt;= min_system_address and src_adr &lt;= max_system_address:
            system += pkt_len
        elif dst_adr &gt;= min_system_address and dst_adr &lt;= max_system_address:
            system += pkt_len
    return f"{system}/{passenger}"
Test Case Results:
{'testCases': [{'actualOutput': '800/0', 'passed': False, 'userPrints': '', 'testCase': {'input': ['450000640000000083069f3fc0a80001c0a80002', '450000c80000000083069f3f0A0000010A000002', '4500012c0000000083069f3fc0a800030A000003', '450001900000000083069f3f0A000004c0a80004'], 'expectedOutput': '800/900', 'description': 'simple test'}}, {'actualOutput': '1300/0',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'65542/0',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</si>
  <si>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 "Analyzing the test results, I notice the passenger count is always 0. Looking at the code, the condition for passenger IP check is incorrectly using AND (instead of OR) and the comparison operators are reversed.",
    "is_complete": true,
    "is_correct": false,
    "errors_or_next_steps": "The passenger IP range check logic is incorrect - the comparison operators are reversed and using AND instead of OR",
    "hint_first_draft": "Check your passenger IP range condition. If a number falls within a range, should it be less than the minimum AND greater than the maximum?",
    "reflection": "The hint effectively points out the logical error without giving away the solution, making the student think about range conditions",
    "hint": "Think about how you check if a number falls between two values. Is your passenger range check letting any IPs through?"
}</t>
  </si>
  <si>
    <t>5.062294006347656</t>
  </si>
  <si>
    <t>The hint addresses the incorrect logical check for the passenger address range, matching the intended message about an incorrect range.</t>
  </si>
  <si>
    <t>It focuses on a single correction (checking the range properly) rather than multiple distinct steps.</t>
  </si>
  <si>
    <t>{
    "thought": "Looking at the test results, the solution is incorrect as it's not detecting passenger wifi IPs correctly. The main issue appears to be in the passenger IP range check condition where the comparison operators are reversed.",
    "is_complete": true,
    "is_correct": false,
    "errors_or_next_steps": "Logical error in passenger IP range check. The condition `src_adr &lt;= min_passenger_address and src_adr &gt;= max_passenger_address` is using incorrect comparison operators.",
    "hint_first_draft": "Check your comparison operators in the passenger IP range check. Think about what it means for a number to be 'within' a range.",
    "reflection": "The hint should help them understand the range check issue without directly giving away the solution. The comparison operators are reversed which makes it impossible for the condition to ever be true.",
    "hint": "When checking if a number is within a range, it should be greater than the minimum and less than the maximum. Your passenger IP check has this backwards!"
}</t>
  </si>
  <si>
    <t>5.381694793701172</t>
  </si>
  <si>
    <t>The hint effectively conveys that the passenger IP address range check is reversed, aligning with the expected hint about incorrect address range usage.</t>
  </si>
  <si>
    <t>It points to a single fix: adjusting the comparison operators for the passenger IP range.</t>
  </si>
  <si>
    <t>No specific Python code snippets are provided in the hint.</t>
  </si>
  <si>
    <t>{
    "thought": "Analyzing the test results, I notice the passenger count is always 0. Looking at the passenger IP check logic, the conditions are reversed (using &lt;= and &gt;= instead of &gt;= and &lt;=) which means no IPs are being counted as passenger IPs.",
    "is_complete": true,
    "is_correct": false,
    "errors_or_next_steps": "Logical error in passenger IP range check - comparison operators are reversed",
    "hint_first_draft": "Check your passenger IP range comparison. Are you sure about the direction of your less than/greater than signs?",
    "reflection": "The hint should help them discover the reversed comparison operators without directly pointing out the solution. It's concise and conversational.",
    "hint": "Your passenger count is always zero. Double-check if your IP comparisons for the passenger range make logical sense."
}</t>
  </si>
  <si>
    <t>5.454673767089844</t>
  </si>
  <si>
    <t>Both the provided hint and the expected hint refer to a problem with the IP address comparisons for the passenger range.</t>
  </si>
  <si>
    <t>The hint suggests only a single action: re-checking the IP comparison logic.</t>
  </si>
  <si>
    <t>No specific Python code or code snippets are given in the hint.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</si>
  <si>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 insert your solution below
    def ip_str_to_int(ip_str):
        parts = list(map(int, ip_str.split('.')))
        return (parts[0] &lt;&lt; 24) + (parts[1] &lt;&lt; 16) + (parts[2] &lt;&lt; 8) + parts[3]
    def hex_to_int(hex_str):
        res = 0
        hex_str = hex_str[::-1]
        for place in range(len(hex_str)):
            val = 0
            if hex_str[place] == 'a':
                val = 10
            elif hex_str[place] == 'b':
                val = 11
            elif hex_str[place] == 'c':
                val = 12
            elif hex_str[place] == 'd':
                val = 13
            elif hex_str[place] == 'e':
                val = 14
            elif hex_str[place] == 'f':
                val = 15
            else:
                val = int(hex_str[place])
            res = res + val*pow(16, place)
        return res
    passenger = 0
    system = 0
    for packet in data:
        # convert hexadecimal string to integer number
        src_adr = hex_to_int(packet[24:32].lower())
        dst_adr = hex_to_int(packet[32:40].lower())
        pkt_len = hex_to_int(packet[4:8].lower())
        min_passenger_address = ip_str_to_int('10.0.0.0')
        max_passenger_address = ip_str_to_int('10.0.254.254')
        min_system_address = ip_str_to_int('192.168.0.0')
        max_system_address = ip_str_to_int('192.168.254.254')
        if src_adr &lt;= min_passenger_address and src_adr &gt;= max_passenger_address:
            passenger += pkt_len
        elif dst_adr &lt;= min_passenger_address and dst_adr &gt;= max_passenger_address:
            passenger += pkt_len
        if src_adr &gt;= min_system_address and src_adr &lt;= max_system_address:
            system += pkt_len
        elif dst_adr &gt;= min_system_address and dst_adr &lt;= max_system_address:
            system += pkt_len
    return f"{system}/{passenger}"
Test Case Results:
{'testCases': [{'actualOutput': '800/0', 'passed': False, 'userPrints': '', 'testCase': {'input': ['450000640000000083069f3fc0a80001c0a80002', '450000c80000000083069f3f0A0000010A000002', '4500012c0000000083069f3fc0a800030A000003', '450001900000000083069f3f0A000004c0a80004'], 'expectedOutput': '800/900', 'description': 'simple test'}}, {'actualOutput': '1300/0',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'65542/0',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</si>
  <si>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"thought_on_correctness": "Solution is incorrect based on all test cases failing",
    "thought_on_completeness": "Solution is complete but has logical errors",
    "thought_on_next_steps": "N/A - solution is complete but needs fixing",
    "thought_on_errors": "The passenger IP address check logic is reversed. The &lt;= and &gt;= operators are incorrectly used in the comparison",
    "hint_first_draft": "Check your comparison logic for passenger IP addresses. Think about what it means for an IP to be 'within' a range - should you use &lt;= and &gt;= or something else?",
    "reflection": "The hint is concise, conversational, and points to the specific logical error without giving away the solution. It makes the student think about range comparison",
    "hint": "When checking if something falls within a range, think about whether your comparisons make sense. Is 5 'within' 1-10 if you check if it's less than 1 AND greater than 10?"
}</t>
  </si>
  <si>
    <t>6.054865121841431</t>
  </si>
  <si>
    <t>The hint addresses the same issue of incorrect range comparisons even though it doesn't explicitly mention 'passenger source ip addresses.' The core intention‚Äîfixing reversed comparisons‚Äîaligns with the expected hint.</t>
  </si>
  <si>
    <t>It primarily points out the need to fix reversed comparisons, which is a single actionable step.</t>
  </si>
  <si>
    <t>It offers no direct Python code or specific snippets; it only provides a conceptual example.</t>
  </si>
  <si>
    <t>{
    "thought_on_correctness": "The solution is incorrect as all test cases failed, showing zero bytes for passenger traffic",
    "thought_on_completeness": "The solution is complete but has logical errors",
    "thought_on_next_steps": "N/A as solution is complete",
    "thought_on_errors": "The passenger traffic condition is checking if address is less than min AND greater than max, which is impossible",
    "hint_first_draft": "Check your passenger traffic conditions. When would a number be both less than the minimum AND greater than the maximum?",
    "reflection": "The hint focuses on the main logical error without giving away the solution, using a question to guide student's thinking",
    "hint": "Think about your passenger range check. Could any number be both smaller than 10.0.0.0 AND larger than 10.0.254.254?"
}</t>
  </si>
  <si>
    <t>5.212327003479004</t>
  </si>
  <si>
    <t>The hint directly points out the impossibility of the current range check, matching the intention of indicating the incorrect address range logic for passenger IPs.</t>
  </si>
  <si>
    <t>The hint only suggests re-examining a single condition (the passenger range check) rather than multiple distinct actions.</t>
  </si>
  <si>
    <t>The hint does not include any specific Python code or snippets; it is posed as a rhetorical question.</t>
  </si>
  <si>
    <t>{
    "thought_on_correctness": "Solution is incorrect based on all test cases failing",
    "thought_on_completeness": "Solution is complete but has logical errors",
    "thought_on_next_steps": "N/A - solution is complete but needs fixing",
    "thought_on_errors": "The passenger IP check logic is reversed. The condition 'src_adr &lt;= min_passenger_address and src_adr &gt;= max_passenger_address' is logically impossible",
    "hint_first_draft": "Check your comparison operators in the passenger IP range check. Remember, a number needs to be greater than the minimum and less than the maximum to be within a range.",
    "reflection": "The hint focuses on the immediate logical error without giving away the solution, and stays within word limit while being conversational",
    "hint": "Look at how you're checking if an IP is in the passenger range. The way you're using &lt;= and &gt;= means no IP will ever match! Try thinking about what 'being in a range' means."
}</t>
  </si>
  <si>
    <t>The hint correctly points out that the range check is incorrect, matching the core issue described in the expected hint.</t>
  </si>
  <si>
    <t>It only suggests one next step: fix how the range check is done.</t>
  </si>
  <si>
    <t>It does not provide any Python code or code snippet.</t>
  </si>
  <si>
    <t>```json
{
  "thought_on_correctness": "is solution correct based on the test case results",
  "thought_on_completeness": "is solution complete",
  "thought_on_next_steps": "if solution is incomplete, what is the likely next step",
  "thought_on_errors": "find any errors in the solution",
  "hint_first_draft": "Check how you're evaluating the IP address ranges. The conditions for inclusion need to account for inclusivity correctly.",
  "reflection": "The output illustrates that the solution isn't correctly evaluating the conditions for the IP ranges. Therefore, highlighting the logical error involving range checking is crucial.",
  "hint": "Check how you're evaluating the IP address ranges. Make sure your conditions correctly capture the inclusive limits."
}
```</t>
  </si>
  <si>
    <t>3.0716769695281982</t>
  </si>
  <si>
    <t>The hint points to checking the IP address range logic, aligning with the expected focus on incorrect passenger IP range evaluations.</t>
  </si>
  <si>
    <t>It only offers a single overarching action‚Äîverifying how the address range conditions are evaluated.</t>
  </si>
  <si>
    <t>{
  "thought_on_correctness": "incorrect",
  "thought_on_completeness": "complete",
  "thought_on_next_steps": "none",
  "thought_on_errors": "src_adr &lt;= min_passenger_address and src_adr &gt;= max_passenger_address condition is incorrect",
  "hint_first_draft": "Check the conditions for identifying passenger addresses. You should be using &gt;= for the minimum and &lt;= for the maximum.",
  "reflection": "My hint focuses on the logical error found in the conditional checks for the passenger addresses. I pointed out that the ranges are set incorrectly and emphasized correcting those conditions.",
  "hint": "Check your conditions for identifying passenger addresses; adjust to properly define the acceptable range."
}</t>
  </si>
  <si>
    <t>2.4215118885040283</t>
  </si>
  <si>
    <t>It accurately points out the mistake in defining the passenger address range, which aligns with the expected hint.</t>
  </si>
  <si>
    <t>It suggests only a single fix (correcting the passenger IP range), rather than multiple steps.</t>
  </si>
  <si>
    <t>No specific Python code or code snippet is included in the hint.</t>
  </si>
  <si>
    <t>```json
{
  "thought_on_correctness": "is solution correct based on the test case results",
  "thought_on_completeness": "is solution complete",
  "thought_on_next_steps": "if solution is incomplete, what is the likely next step",
  "thought_on_errors": "find any errors in the solution",
  "hint_first_draft": "Check your conditions for determining if a source or destination IP falls within the specified ranges; they seem reversed.",
  "reflection": "I analyzed the provided solution and test results. The output is incorrect due to condition checks not properly identifying the IP address ranges. It's essential to point out the logical error clearly and concisely.",
  "hint": "Revisit the conditions checking the IP ranges; the comparison logic might be flipped."
}
```</t>
  </si>
  <si>
    <t>3.8901009559631348</t>
  </si>
  <si>
    <t>The hint correctly addresses that the IP range checks for passenger addresses are reversed, which aligns with the expected hint about incorrect passenger address range usage.</t>
  </si>
  <si>
    <t>The hint only provides one clear next action: to check and correct the flipped comparison logic, rather than multiple distinct steps.</t>
  </si>
  <si>
    <t>The hint does not include any specific Python code or snippets.</t>
  </si>
  <si>
    <t>```json
{
  "thought": "The solution is incorrect, as shown by the test case results indicating that all passenger totals are 0. The solution appears complete as it processes input, calculates addresses, and computes totals. There is likely a logical error in the IP range checks for passenger addresses.",
  "is_complete": true,
  "is_correct": false,
  "errors_or_next_steps": "Check the inequality signs for passenger IP range comparisons.",
  "hint": "Review how you are checking if an IP falls within the passenger range; your inequalities might be flipped."
}
```</t>
  </si>
  <si>
    <t>2.144594192504883</t>
  </si>
  <si>
    <t>The hint about checking flipped inequalities matches the intended message that the address range for passenger addresses is incorrect.</t>
  </si>
  <si>
    <t>It only specifies checking and correcting the inequality without prescribing more than one distinct action.</t>
  </si>
  <si>
    <t>```json
{
  "thought": "The student's solution is incorrect as it fails all test cases. They incorrectly implement the check for passenger IPs using `&lt;=` and `&gt;=` instead of the correct `&gt;=` and `&lt;=` bounds check, causing the byte counts for passenger IPs to remain zero.",
  "is_complete": true,
  "is_correct": false,
  "errors_or_next_steps": "Logical error with range checks for passenger IP addresses.",
  "hint": "Check how you're comparing IP ranges for passenger addresses; you might need to adjust your comparison logic."
}
```</t>
  </si>
  <si>
    <t>2.0138890743255615</t>
  </si>
  <si>
    <t>Both the given hint and the expected hint point to an issue with passenger address range comparison logic.</t>
  </si>
  <si>
    <t>The hint suggests only one general action: adjust or fix the comparison logic.</t>
  </si>
  <si>
    <t>No explicit Python code snippets or references to specific lines of code are provided.</t>
  </si>
  <si>
    <t>```json
{
  "thought": "The student's solution is incorrect based on the test results. The checks for IP address ranges in the 'if' conditions are incorrect, causing no bytes to be added to the passenger count.",
  "is_complete": true,
  "is_correct": false,
  "errors_or_next_steps": "Incorrect condition checks for IP address ranges.",
  "hint": "Check if both 'if' conditions for IP ranges actually compare the address within the correct boundaries."
}
```</t>
  </si>
  <si>
    <t>1.9309630393981934</t>
  </si>
  <si>
    <t>The hint addresses verifying boundary comparisons, which aligns with the issue of incorrect address range usage for passenger IP addresses.</t>
  </si>
  <si>
    <t>It implicitly suggests checking two separate conditions (passenger and system IP checks), thus more than one action.</t>
  </si>
  <si>
    <t>```json
{
  "thought": "The solution incorrectly calculates IP ranges as it checks for less than or greater than conditions instead of proper range checks. The test results indicate the code never computed the passenger wifi total properly. Instead of 'and', it should use 'or' in IP range comparisons.",
  "is_complete": true,
  "is_correct": false,
  "errors_or_next_steps": "Logical error in checking if addresses fall within IP ranges.",
  "hint_first_draft": "Check the conditions for IP range limits. Ensure the range checks correctly use both boundary IP addresses.",
  "reflection": "Ensuring range checks use 'or' rather than 'and' for both conditions is crucial to calculating correct byte totals. My hint needs to carefully direct attention toward IP comparison logic.",
  "hint": "Review how IP range checks are performed. Ensure they evaluate correctly using both boundary endpoints."
}
```</t>
  </si>
  <si>
    <t>2.8648838996887207</t>
  </si>
  <si>
    <t>The hint aligns with the expected hint by pointing out the issue with how the IP range checks (boundaries) are handled for passenger addresses.</t>
  </si>
  <si>
    <t>It only advises checking the range checks; it doesn't specify multiple distinct actions to take beyond that single review.</t>
  </si>
  <si>
    <t>It does not include any specific Python code or snippets, only a general instruction to review the IP range checking logic.</t>
  </si>
  <si>
    <t>```json
{
  "thought": "The solution is incorrect since none of the test cases passed. The solution looks complete, as it has a full implementation. There's a logical error: IP range checks use incorrect conditions, causing passenger bytes to be zero.",
  "is_complete": true,
  "is_correct": false,
  "errors_or_next_steps": "Logical error in IP address range checking conditions.",
  "hint_first_draft": "Check the IP address range conditions, as they seem incorrectly ordered.",
  "reflection": "I focused on the logical issue in the range condition checks because resolving this would likely lead to a correct comparison for each IP range.",
  "hint": "Check the IP address range conditions, as they seem incorrectly ordered."
}
```</t>
  </si>
  <si>
    <t>2.658266067504883</t>
  </si>
  <si>
    <t>The hint accurately points out that the ranges for passenger IP addresses are reversed, matching the expected hint's intention.</t>
  </si>
  <si>
    <t>It only suggests a single action: reviewing the passenger IP address range conditions.</t>
  </si>
  <si>
    <t>No code snippets or specific Python references are provided.</t>
  </si>
  <si>
    <t>```json
{
  "thought": "The solution fails all test cases, indicating it's incorrect. The solution processes the IP and packet length but compares IP address ranges incorrectly. The logical flaw lies in the conditional check for IP address ranges. Correct these comparisons to see if IP is within valid ranges.",
  "is_complete": true,
  "is_correct": false,
  "errors_or_next_steps": "Logical error in IP address range comparisons.",
  "hint_first_draft": "Check the comparisons for IP address ranges, they might be reversed.",
  "reflection": "Upon reviewing, the main issue was identified in the conditions used for checking if an IP is within range. This solution structure is complete but needs logical corrections.",
  "hint": "Check the comparisons for IP address ranges, they might be reversed."
}
```</t>
  </si>
  <si>
    <t>2.5138609409332275</t>
  </si>
  <si>
    <t>They both point to the same core issue: the address range comparisons for passenger IPs are inverted.</t>
  </si>
  <si>
    <t>It only suggests one action (checking the comparisons) rather than multiple.</t>
  </si>
  <si>
    <t>No Python code or snippets are provided, only a general statement about reversed comparisons.</t>
  </si>
  <si>
    <t>```json
{
  "thought_on_correctness": "The solution is incorrect based on the test case results; it failed all test cases.",
  "thought_on_completeness": "The solution is complete but contains a logical error.",
  "thought_on_next_steps": "N/A",
  "thought_on_errors": "There's a logical error in the condition checking the passenger IP range: the condition checks the wrong logical orientation, 'source &lt;= min' or 'source &gt;= max' should be 'min &lt;= source &lt;= max'.",
  "hint_first_draft": "Double-check the conditions used to determine if IPs fall within the passenger range; verify the logical operators and condition sequencing.",
  "reflection": "I identified that the student's solution uses incorrect logic to compare IP addresses with the defined range values for the passenger IP range. The provided hint focuses on this key logical error, following the task requirements.",
  "hint": "Double-check the conditions used to determine if IPs fall within the passenger range; verify the logical operators and condition sequencing."
}
```</t>
  </si>
  <si>
    <t>3.1465840339660645</t>
  </si>
  <si>
    <t>The hint aligns with the idea that there is an issue with the passenger IP address range check, matching the intention of the expected hint.</t>
  </si>
  <si>
    <t>It broadly advises re-checking logical operators and condition sequencing as a single step without multiple next actions.</t>
  </si>
  <si>
    <t>No specific code snippets or Python code are provided in the hint.</t>
  </si>
  <si>
    <t>```json
{
  "thought_on_correctness": "The solution is incorrect based on the test case results.",
  "thought_on_completeness": "The solution appears complete but has logical errors.",
  "thought_on_next_steps": null,
  "thought_on_errors": "The condition logic for checking if the IP addresses are within the passenger range is incorrect.",
  "hint_first_draft": "Check the logic used for confirming if an IP is within the passenger network range. It seems the bounds are incorrectly implemented.",
  "reflection": "The process involved understanding that the solution failed all test cases, indicating a logical issue. Upon reviewing, the conditional logic incorrectly compares IP addresses. The hint focuses on reviewing these conditions for correctness.",
  "hint": "Check the logic used for confirming if an IP is within the passenger network range. It seems the bounds are incorrectly implemented."
}
```</t>
  </si>
  <si>
    <t>2.593021869659424</t>
  </si>
  <si>
    <t>The hint directly points to the incorrect use of passenger network bounds, matching the expected hint of using an incorrect address range for passenger source IPs.</t>
  </si>
  <si>
    <t>It provides a single general step: verifying and correcting the incorrect bounds check, rather than multiple actions or steps.</t>
  </si>
  <si>
    <t>It does not include any Python code or snippets, only a textual explanation.</t>
  </si>
  <si>
    <t>```json
{
  "thought_on_correctness": "The solution is incorrect based on the test case results as all test cases failed.",
  "thought_on_completeness": "The solution is complete since it attempts to cover all parts of the problem, such as handling hex processing and IP address checking.",
  "thought_on_next_steps": "The solution is complete, so next steps do not apply.",
  "thought_on_errors": "The logic for checking the IP address ranges is incorrect. The conditions used are reversed, which leads to incorrect packet counting.",
  "hint_first_draft": "Check the logic used to determine if an IP address is within the specified range. The conditions for the comparisons might be reversed.",
  "reflection": "I followed the rules to identify that the solution is incorrect due to a logical error. The hint should direct the student to review the conditional checks for IP ranges.",
  "hint": "Check the logic used to determine if an IP address is within the specified range. The conditions for the comparisons might be reversed."
}
```</t>
  </si>
  <si>
    <t>3.463855028152466</t>
  </si>
  <si>
    <t>The hint points out the reversed comparison logic, which aligns with the expected hint that the passenger address range check is incorrect.</t>
  </si>
  <si>
    <t>It suggests only one action: checking and correcting the reversed range comparisons.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</si>
  <si>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 insert your solution below
    def ip_str_to_int(ip_str):
        parts = list(map(int, ip_str.split('.')))
        return (parts[0] &lt;&lt; 24) + (parts[1] &lt;&lt; 16) + (parts[2] &lt;&lt; 8) + parts[3]
    def hex_to_int(hex_str):
        res = 0
        hex_str = hex_str[::-1]
        for place in range(len(hex_str)):
            val = 0
            if hex_str[place] == 'a':
                val = 10
            elif hex_str[place] == 'b':
                val = 11
            elif hex_str[place] == 'c':
                val = 12
            elif hex_str[place] == 'd':
                val = 13
            elif hex_str[place] == 'e':
                val = 14
            elif hex_str[place] == 'f':
                val = 15
            else:
                val = int(hex_str[place])
            res = res + val*pow(16, place)
        return res
    passenger = 0
    system = 0
    for packet in data:
        # convert hexadecimal string to integer number
        src_adr = hex_to_int(packet[24:32].lower())
        dst_adr = hex_to_int(packet[32:40].lower())
        pkt_len = hex_to_int(packet[4:8].lower())
        min_passenger_address = ip_str_to_int('10.0.0.0')
        max_passenger_address = ip_str_to_int('10.0.254.254')
        min_system_address = ip_str_to_int('192.168.0.0')
        max_system_address = ip_str_to_int('192.168.254.254')
        if src_adr &lt;= min_passenger_address and src_adr &gt;= max_passenger_address:
            passenger += pkt_len
        elif dst_adr &lt;= min_passenger_address and dst_adr &gt;= max_passenger_address:
            passenger += pkt_len
        if src_adr &gt;= min_system_address and src_adr &lt;= max_system_address:
            system += pkt_len
        elif dst_adr &gt;= min_system_address and dst_adr &lt;= max_system_address:
            system += pkt_len
    return f"{system}/{passenger}"
Test Case Results:
{'testCases': [{'actualOutput': '800/0', 'passed': False, 'userPrints': '', 'testCase': {'input': ['450000640000000083069f3fc0a80001c0a80002', '450000c80000000083069f3f0A0000010A000002', '4500012c0000000083069f3fc0a800030A000003', '450001900000000083069f3f0A000004c0a80004'], 'expectedOutput': '800/900', 'description': 'simple test'}}, {'actualOutput': '1300/0',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'65542/0',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</si>
  <si>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{"hint": "Check the comparison logic for the passenger range. The conditions are reversed‚Äîensure you're confirming the IP is above the lower bound and below the upper bound."}</t>
  </si>
  <si>
    <t>3.6981887817382812</t>
  </si>
  <si>
    <t>The hint aligns with the expected hint about reversing the passenger address logic to ensure the comparison is done correctly.</t>
  </si>
  <si>
    <t>The hint only suggests one action: fixing the reversed comparison logic, without additional steps.</t>
  </si>
  <si>
    <t>{
  "hint": "Your comparisons for the passenger IP range are reversed. Check the inequality operators to ensure you correctly include addresses between 10.0.0.0 and 10.0.254.254."
}</t>
  </si>
  <si>
    <t>6.037030220031738</t>
  </si>
  <si>
    <t>The hint correctly identifies that the passenger address range comparison is reversed, matching the intention of the expected hint regarding an incorrect address range for passenger IPs.</t>
  </si>
  <si>
    <t>It provides a single fix: correcting the inequality operators for the passenger IP range.</t>
  </si>
  <si>
    <t>No Python code snippets or specific code examples are included in the hint.</t>
  </si>
  <si>
    <t>{"hint": "Your system handling is good, but the passenger range conditions are reversed. Try adjusting the inequality order so that you check if the IP is between the minimum and maximum values correctly."}</t>
  </si>
  <si>
    <t>7.273892164230347</t>
  </si>
  <si>
    <t>The hint accurately states that the passenger address range check is reversed, matching the expected reminder about using the incorrect address range.</t>
  </si>
  <si>
    <t>It only suggests one action: fix and reorder the inequality checks for passenger IP addresses.</t>
  </si>
  <si>
    <t>It provides no explicit code or snippet, only a conceptual adjustment to the inequalities.</t>
  </si>
  <si>
    <t>questions/broken_firewall/2_logical.py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</si>
  <si>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ship_internal_bytes = 0
    passenger_wifi_bytes = 0
    # Function to convert IP address string to integer
    def ip_str_to_int(ip_str):
        parts = list(map(int, ip_str.split('.')))
        return (parts[0] &lt;&lt; 24) + (parts[1] &lt;&lt; 16) + (parts[2] &lt;&lt; 8) + parts[3]
    # Ship internal systems IP range (192.168.0.0 - 192.168.254.254)
    ship_internal_start = ip_str_to_int('192.168.0.0')
    ship_internal_end = ip_str_to_int('192.168.254.254')
    # Passenger wifi IP range (10.0.0.0 - 10.0.254.254)
    passenger_wifi_start = ip_str_to_int('10.0.0.0')
    passenger_wifi_end = ip_str_to_int('10.0.254.254')
    for packet in data:
        packet = packet.strip()
        length_hex = packet[4:7]
        packet_length = int(length_hex, 16)
        source_ip_hex = packet[24:31]
        source_ip_bytes = [int(source_ip_hex[i:i+2], 16)
                           for i in range(0, 8, 2)]
        source_ip_int = (source_ip_bytes[0] &lt;&lt; 24) + (source_ip_bytes[1] &lt;&lt; 16) + \
                        (source_ip_bytes[2] &lt;&lt; 8) + source_ip_bytes[3]
        dest_ip_hex = packet[31:39]
        dest_ip_bytes = [int(dest_ip_hex[i:i+2], 16) for i in range(0, 8, 2)]
        dest_ip_int = (dest_ip_bytes[0] &lt;&lt; 24) + (dest_ip_bytes[1] &lt;&lt; 16) + \
                      (dest_ip_bytes[2] &lt;&lt; 8) + dest_ip_bytes[3]
        if ship_internal_start &lt;= source_ip_int &lt;= ship_internal_end or \
           ship_internal_start &lt;= dest_ip_int &lt;= ship_internal_end:
            ship_internal_bytes += packet_length
        if passenger_wifi_start &lt;= source_ip_int &lt;= passenger_wifi_end or \
           passenger_wifi_start &lt;= dest_ip_int &lt;= passenger_wifi_end:
            passenger_wifi_bytes += packet_length
    return f"{ship_internal_bytes}/{passenger_wifi_bytes}"
Test Case Results:
{'testCases': [{'actualOutput': '24/37', 'passed': False, 'userPrints': '', 'testCase': {'input': ['450000640000000083069f3fc0a80001c0a80002', '450000c80000000083069f3f0A0000010A000002', '4500012c0000000083069f3fc0a800030A000003', '450001900000000083069f3f0A000004c0a80004'], 'expectedOutput': '800/900', 'description': 'simple test'}}, {'actualOutput': '31/49',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'4095/4083',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</si>
  <si>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 "Looking at the solution and test results, the code seems complete but has logical errors. The main issue appears to be in extracting the packet length - the slice indices for length_hex are incorrect (using 4:7 instead of 4:8).",
    "is_complete": true,
    "is_correct": false,
    "errors_or_next_steps": "Incorrect packet length extraction from hexadecimal string",
    "hint": "Double-check how you're reading the packet length. The problem mentions bytes 3-4, but your slice might not be capturing the full length value correctly."
}</t>
  </si>
  <si>
    <t>4.462088108062744</t>
  </si>
  <si>
    <t>The hint directly addresses the same issue as the expected hint: reading the packet length incorrectly.</t>
  </si>
  <si>
    <t>It focuses on a single next step (checking the slicing for packet length).</t>
  </si>
  <si>
    <t>No specific Python code snippet or implementation details are provided.</t>
  </si>
  <si>
    <t>Did not extract correct number of bytes for packet length</t>
  </si>
  <si>
    <t>{
    "thought": "The solution is complete but incorrect. Looking at the test cases, the main issue appears to be with extracting the packet length. The student is using indices 4:7 which is incorrect for the 16-bit length field in bytes 3-4.",
    "is_complete": true,
    "is_correct": false,
    "errors_or_next_steps": "Incorrect packet length extraction from hexadecimal string",
    "hint": "Double-check the position where you're reading the packet length. Remember it's a 16-bit field at bytes 3-4, so you'll need to adjust your string indices."
}</t>
  </si>
  <si>
    <t>4.487697124481201</t>
  </si>
  <si>
    <t>The hint aligns with the expected hint about correcting the packet length extraction.</t>
  </si>
  <si>
    <t>The hint focuses on a single action: adjusting the index for the packet length field.</t>
  </si>
  <si>
    <t>It does not include any explicit Python code or code snippets.</t>
  </si>
  <si>
    <t>{
    "thought": "Looking at the test results, all cases fail. The solution is complete but has logical errors. The main issue appears to be in extracting the packet length - the student is using wrong byte positions (4:7 instead of 4:8) for the length field.",
    "is_complete": true,
    "is_correct": false,
    "errors_or_next_steps": "Incorrect byte positions for packet length extraction",
    "hint": "Double-check the byte positions you're using to extract the packet length. Remember that each byte is represented by two hexadecimal characters!"
}</t>
  </si>
  <si>
    <t>4.041167736053467</t>
  </si>
  <si>
    <t>The hint accurately points out the issue of not extracting the correct byte positions, matching the intended hint about packet length extraction.</t>
  </si>
  <si>
    <t>It only suggests one actionable step: verifying and adjusting the byte positions for the packet length.</t>
  </si>
  <si>
    <t>The hint merely provides guidance and does not include specific Python code or snippets.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</si>
  <si>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ship_internal_bytes = 0
    passenger_wifi_bytes = 0
    # Function to convert IP address string to integer
    def ip_str_to_int(ip_str):
        parts = list(map(int, ip_str.split('.')))
        return (parts[0] &lt;&lt; 24) + (parts[1] &lt;&lt; 16) + (parts[2] &lt;&lt; 8) + parts[3]
    # Ship internal systems IP range (192.168.0.0 - 192.168.254.254)
    ship_internal_start = ip_str_to_int('192.168.0.0')
    ship_internal_end = ip_str_to_int('192.168.254.254')
    # Passenger wifi IP range (10.0.0.0 - 10.0.254.254)
    passenger_wifi_start = ip_str_to_int('10.0.0.0')
    passenger_wifi_end = ip_str_to_int('10.0.254.254')
    for packet in data:
        packet = packet.strip()
        length_hex = packet[4:7]
        packet_length = int(length_hex, 16)
        source_ip_hex = packet[24:31]
        source_ip_bytes = [int(source_ip_hex[i:i+2], 16)
                           for i in range(0, 8, 2)]
        source_ip_int = (source_ip_bytes[0] &lt;&lt; 24) + (source_ip_bytes[1] &lt;&lt; 16) + \
                        (source_ip_bytes[2] &lt;&lt; 8) + source_ip_bytes[3]
        dest_ip_hex = packet[31:39]
        dest_ip_bytes = [int(dest_ip_hex[i:i+2], 16) for i in range(0, 8, 2)]
        dest_ip_int = (dest_ip_bytes[0] &lt;&lt; 24) + (dest_ip_bytes[1] &lt;&lt; 16) + \
                      (dest_ip_bytes[2] &lt;&lt; 8) + dest_ip_bytes[3]
        if ship_internal_start &lt;= source_ip_int &lt;= ship_internal_end or \
           ship_internal_start &lt;= dest_ip_int &lt;= ship_internal_end:
            ship_internal_bytes += packet_length
        if passenger_wifi_start &lt;= source_ip_int &lt;= passenger_wifi_end or \
           passenger_wifi_start &lt;= dest_ip_int &lt;= passenger_wifi_end:
            passenger_wifi_bytes += packet_length
    return f"{ship_internal_bytes}/{passenger_wifi_bytes}"
Test Case Results:
{'testCases': [{'actualOutput': '24/37', 'passed': False, 'userPrints': '', 'testCase': {'input': ['450000640000000083069f3fc0a80001c0a80002', '450000c80000000083069f3f0A0000010A000002', '4500012c0000000083069f3fc0a800030A000003', '450001900000000083069f3f0A000004c0a80004'], 'expectedOutput': '800/900', 'description': 'simple test'}}, {'actualOutput': '31/49',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'4095/4083',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</si>
  <si>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 "Looking at the test cases, the solution is complete but incorrect. The main issue appears to be with extracting the packet length. The bytes are being sliced incorrectly (4:7 instead of 4:8), causing wrong length calculations.",
    "is_complete": true,
    "is_correct": false,
    "errors_or_next_steps": "Incorrect slicing of packet length bytes leading to wrong length calculations",
    "hint_first_draft": "Look carefully at how you're reading the length from the packet header. Are you capturing both bytes correctly?",
    "reflection": "The hint should point them to the length extraction without being too specific. The conversational style should encourage them to double-check their work.",
    "hint": "Hey! The packet lengths seem off in your calculations. Double-check how many characters you're reading for the length field - you might be missing some data!"
}</t>
  </si>
  <si>
    <t>5.3252081871032715</t>
  </si>
  <si>
    <t>The hint aligns with the expected hint about incorrectly extracting the length field.</t>
  </si>
  <si>
    <t>It only suggests re-checking the current length extraction approach, which is just one action.</t>
  </si>
  <si>
    <t>It does not provide any explicit code snippets or Python-specific syntax.</t>
  </si>
  <si>
    <t>{
    "thought": "Looking at the test results, the solution is complete but incorrect. The main issue appears to be in the hexadecimal string parsing. The packet length and IP address positions in the hex string are being read from incorrect positions.",
    "is_complete": true,
    "is_correct": false,
    "errors_or_next_steps": "Incorrect byte positions being used to extract packet length and IP addresses from the hex string",
    "hint_first_draft": "Double-check the byte positions in your hex string. Remember each byte is represented by 2 hex digits. Your length calculation starts at position 4, but that might not be correct.",
    "reflection": "The hint should guide them to review the byte positions without giving away the exact positions. Focusing on the length calculation first as it affects the final sum.",
    "hint": "Each byte in your hex string is two characters long. Are you sure you're starting at the right position for the packet length? Count carefully from the beginning."
}</t>
  </si>
  <si>
    <t>6.044305801391602</t>
  </si>
  <si>
    <t>The hint focusing on byte-length alignment aligns with the expected hint about not extracting the correct number of bytes.</t>
  </si>
  <si>
    <t>The hint suggests only a single corrective action: double-check the starting position for packet length extraction.</t>
  </si>
  <si>
    <t>No Python code or snippets are included, only a conceptual reminder.</t>
  </si>
  <si>
    <t>{
  "thought": "Analyzing test results, solution is incomplete and incorrect. Main issue appears to be with extracting packet length from hex string. Current slice indices [4:7] are wrong for 16-bit length field at bytes 3-4.",
  "is_complete": true,
  "is_correct": false,
  "errors_or_next_steps": "Incorrect packet length extraction from hex string - wrong slice indices used",
  "hint_first_draft": "Look carefully at the packet length bytes position. You're currently grabbing 3 characters, but you need exactly 4 characters from the right position.",
  "reflection": "Hint should be more conversational and avoid technical terms like 'slice indices'. Focus on the length extraction issue without giving exact positions.",
  "hint": "The packet sizes seem off. Double-check how you're reading the length field - you might be missing some digits or starting at the wrong spot!"
}</t>
  </si>
  <si>
    <t>5.626734018325806</t>
  </si>
  <si>
    <t>It aligns with the expected hint about extracting the correct number of bytes for packet length.</t>
  </si>
  <si>
    <t>The hint only suggests re-checking the extraction of the length field, which is a single step.</t>
  </si>
  <si>
    <t>The hint does not provide any code snippet or references to code.</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</si>
  <si>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ship_internal_bytes = 0
    passenger_wifi_bytes = 0
    # Function to convert IP address string to integer
    def ip_str_to_int(ip_str):
        parts = list(map(int, ip_str.split('.')))
        return (parts[0] &lt;&lt; 24) + (parts[1] &lt;&lt; 16) + (parts[2] &lt;&lt; 8) + parts[3]
    # Ship internal systems IP range (192.168.0.0 - 192.168.254.254)
    ship_internal_start = ip_str_to_int('192.168.0.0')
    ship_internal_end = ip_str_to_int('192.168.254.254')
    # Passenger wifi IP range (10.0.0.0 - 10.0.254.254)
    passenger_wifi_start = ip_str_to_int('10.0.0.0')
    passenger_wifi_end = ip_str_to_int('10.0.254.254')
    for packet in data:
        packet = packet.strip()
        length_hex = packet[4:7]
        packet_length = int(length_hex, 16)
        source_ip_hex = packet[24:31]
        source_ip_bytes = [int(source_ip_hex[i:i+2], 16)
                           for i in range(0, 8, 2)]
        source_ip_int = (source_ip_bytes[0] &lt;&lt; 24) + (source_ip_bytes[1] &lt;&lt; 16) + \
                        (source_ip_bytes[2] &lt;&lt; 8) + source_ip_bytes[3]
        dest_ip_hex = packet[31:39]
        dest_ip_bytes = [int(dest_ip_hex[i:i+2], 16) for i in range(0, 8, 2)]
        dest_ip_int = (dest_ip_bytes[0] &lt;&lt; 24) + (dest_ip_bytes[1] &lt;&lt; 16) + \
                      (dest_ip_bytes[2] &lt;&lt; 8) + dest_ip_bytes[3]
        if ship_internal_start &lt;= source_ip_int &lt;= ship_internal_end or \
           ship_internal_start &lt;= dest_ip_int &lt;= ship_internal_end:
            ship_internal_bytes += packet_length
        if passenger_wifi_start &lt;= source_ip_int &lt;= passenger_wifi_end or \
           passenger_wifi_start &lt;= dest_ip_int &lt;= passenger_wifi_end:
            passenger_wifi_bytes += packet_length
    return f"{ship_internal_bytes}/{passenger_wifi_bytes}"
Test Case Results:
{'testCases': [{'actualOutput': '24/37', 'passed': False, 'userPrints': '', 'testCase': {'input': ['450000640000000083069f3fc0a80001c0a80002', '450000c80000000083069f3f0A0000010A000002', '4500012c0000000083069f3fc0a800030A000003', '450001900000000083069f3f0A000004c0a80004'], 'expectedOutput': '800/900', 'description': 'simple test'}}, {'actualOutput': '31/49',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'4095/4083',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</si>
  <si>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
    "thought_on_correctness": "Solution is incorrect based on all test cases failing",
    "thought_on_completeness": "Solution appears complete but has logical errors",
    "thought_on_next_steps": null,
    "thought_on_errors": "The packet length calculation is incorrect. Current code reads bytes 4-7, but should read bytes 3-4 according to specification",
    "hint_first_draft": "Look carefully at where the packet length is stored. Are you reading the correct bytes from the header? Double-check the specification for packet length location.",
    "reflection": "Hint focuses on most critical error without giving away solution, maintains conversational tone, and guides student to examine specific part of their code",
    "hint": "Hey! The packet lengths in your output seem too small. Double-check which bytes in the header contain the length information - you might be looking in the wrong spot!"
}</t>
  </si>
  <si>
    <t>5.626033782958984</t>
  </si>
  <si>
    <t>The hint aligns with the expected hint regarding extracting the correct number of bytes for the packet length.</t>
  </si>
  <si>
    <t>The hint suggests only one next step: verifying which bytes are used for the length extraction.</t>
  </si>
  <si>
    <t>It does not contain any Python code or code snippets.</t>
  </si>
  <si>
    <t>{
    "thought_on_correctness": "Solution is incorrect based on test case results showing all tests failed",
    "thought_on_completeness": "Solution is complete as it handles all required functionality but has logical errors",
    "thought_on_next_steps": "N/A",
    "thought_on_errors": "The packet length calculation is wrong as it's reading incorrect byte positions and using wrong length for hex values",
    "hint_first_draft": "Take a closer look at how you're extracting the packet length. Remember it's in bytes 3-4, and you might want to double-check your hex string slicing.",
    "reflection": "Hint focuses on the immediate issue with length calculation without giving away the solution, keeps it conversational and specific",
    "hint": "The packet length seems off - double check which two bytes you need to look at and make sure you're grabbing the right part of the hex string!"
}</t>
  </si>
  <si>
    <t>5.6078009605407715</t>
  </si>
  <si>
    <t>The hint aligns with the expected hint to re-check the bytes used for packet length extraction; it matches the intention of pointing out incorrect length extraction.</t>
  </si>
  <si>
    <t>It provides only one instruction: verify the two bytes used for the packet length. That is essentially a single step to check the hex substring being parsed.</t>
  </si>
  <si>
    <t>{
    "thought_on_correctness": "Solution is incorrect as all test cases are failing",
    "thought_on_completeness": "Solution is complete but contains logical errors",
    "thought_on_next_steps": "Not applicable as solution is complete",
    "thought_on_errors": "The packet length bytes are being read incorrectly. It should be bytes 3-4, but code is reading 4-7",
    "hint_first_draft": "Check how you're reading the packet length. The length is encoded in 2 bytes, not 3, and you might be starting from the wrong position.",
    "reflection": "Hint focuses on the most critical error without giving away exact positions or solution, while maintaining conversational tone",
    "hint": "Hey! The packet length might not be what you think it is - double check where you start reading it and how many bytes you're using!"
}</t>
  </si>
  <si>
    <t>The hint is indeed focused on verifying the extraction of the packet length, aligning with the expected hint about not extracting the correct number of bytes for the packet length.</t>
  </si>
  <si>
    <t>It suggests two distinct checks: verifying the starting position for reading and the number of bytes used, hence multiple next steps.</t>
  </si>
  <si>
    <t>The hint does not contain any Python code or code snippets.</t>
  </si>
  <si>
    <t>```json
{
  "thought_on_correctness": "solution is incorrect based on the test case results",
  "thought_on_completeness": "solution is complete",
  "thought_on_next_steps": "review the logic used to interpret the packet header",
  "thought_on_errors": "the extraction of packet length appears to be off",
  "hint_first_draft": "Double-check how you're extracting the packet length from the hexadecimal string.",
  "reflection": "The solution is incorrect, and it is complete but contains logical mistakes. The packet length extraction seems inaccurate, which needs to be pointed out clearly.",
  "hint": "Double-check how you're extracting the packet length from the hexadecimal string."
}
```</t>
  </si>
  <si>
    <t>2.4556901454925537</t>
  </si>
  <si>
    <t>The hint correctly points to the same issue as the expected hint: the extraction of the packet length from the hexadecimal string.</t>
  </si>
  <si>
    <t>The hint only suggests re-checking one specific step and does not provide multiple next actions.</t>
  </si>
  <si>
    <t>{
  "thought_on_correctness": "is solution incorrect based on the test case results",
  "thought_on_completeness": "is solution complete",
  "thought_on_next_steps": "review the handling of packet lengths and IP extraction",
  "thought_on_errors": "extraction of packet length and IP addresses might be incorrect",
  "hint_first_draft": "Check the way you're extracting the packet length and IP addresses from the hex string.",
  "reflection": "The solution is definitely incorrect as all test cases failed. However, it seems to be a complete solution overall as it attempts to process all the packets. The primary focus should be addressing the extraction method used.",
  "hint": "Check how you're extracting the packet length and IP addresses from the hex string."
}</t>
  </si>
  <si>
    <t>2.668473958969116</t>
  </si>
  <si>
    <t>The hint broadly addresses the same extraction issues as the expected hint (particularly the packet length), even though it also mentions IP addresses.</t>
  </si>
  <si>
    <t>It points out two separate checks: one for packet length extraction and one for IP address extraction.</t>
  </si>
  <si>
    <t>It does not include any explicit code examples or snippets.</t>
  </si>
  <si>
    <t>```json
{
  "thought_on_correctness": "is solution incorrect based on the test case results",
  "thought_on_completeness": "is solution complete",
  "thought_on_next_steps": "the immediate next step is to check how you extract the packet length",
  "thought_on_errors": "the way you extract the packet length from the hexadecimal string seems off",
  "hint_first_draft": "Double-check how you're slicing the string to get the packet length; it might not be starting from the right index.",
  "reflection": "I determined the solution is incorrect as none of the test cases passed. It seems to have a problem with how the packet length is extracted, which is crucial for correct calculations. I will guide the student to focus on that aspect.",
  "hint": "Revisit how you're slicing to extract the packet length; ensure it's starting from the correct index."
}
```</t>
  </si>
  <si>
    <t>3.4825220108032227</t>
  </si>
  <si>
    <t>The hint about revisiting the slicing index aligns with the expected hint about extracting the correct number of bytes for packet length.</t>
  </si>
  <si>
    <t>It suggests only a single action (checking the slicing start), rather than multiple steps.</t>
  </si>
  <si>
    <t>The hint does not include any Python code snippets.</t>
  </si>
  <si>
    <t>```json
{
  "thought": "The solution is incorrect based on the test case results which show no successful passes. The solution is complete but miscalculates packet length extraction from hexadecimal data, likely due to incorrect indexing or slicing.",
  "is_complete": true,
  "is_correct": false,
  "errors_or_next_steps": "Misinterpretation of hexadecimal packet length extraction.",
  "hint": "Ensure you're correctly converting the hexadecimal string for packet length. Double-check the byte positions and slicing."
}
```</t>
  </si>
  <si>
    <t>1.7541120052337646</t>
  </si>
  <si>
    <t>The hint aligns with the expected message regarding extracting the correct packet length by referencing the hex conversion and byte positions.</t>
  </si>
  <si>
    <t>It suggests two actions: verifying the hex conversion and double-checking byte positions/slicing.</t>
  </si>
  <si>
    <t>```json
{
  "thought": "The test cases did not pass, indicating incorrect results. The solution appears complete. The hex slice for packet length seems incorrect; bytes are not correctly sliced.",
  "is_complete": true,
  "is_correct": false,
  "errors_or_next_steps": "Incorrect byte slicing for packet length.",
  "hint": "Check how bytes for the packet length are sliced from the hex string."
}
```</t>
  </si>
  <si>
    <t>1.5212109088897705</t>
  </si>
  <si>
    <t>The hint focuses on the slicing of the packet length bytes, aligning with the expected hint that states the code did not extract the correct number of bytes.</t>
  </si>
  <si>
    <t>It only suggests one action: verifying how bytes are sliced, rather than multiple distinct steps.</t>
  </si>
  <si>
    <t>The hint does not include any specific Python code or snippet, only a general direction to check slicing.</t>
  </si>
  <si>
    <t>```json
{
  "thought": "The test cases indicate the solution is incorrect. The solution appears to be complete. The error seems to be with how packet lengths are extracted from header bytes. The indexing to fetch the packet length may be off by one.",
  "is_complete": true,
  "is_correct": false,
  "errors_or_next_steps": "Check the slicing for packet length extraction.",
  "hint": "Ensure you're correctly slicing the bytes to extract the packet length from the header."
}
```</t>
  </si>
  <si>
    <t>1.8399381637573242</t>
  </si>
  <si>
    <t>The hint aligns with the expected hint about incorrect packet length extraction.</t>
  </si>
  <si>
    <t>It suggests checking only one aspect (the slicing for the packet length).</t>
  </si>
  <si>
    <t>No specific Python code snippets are provided, just a general instruction.</t>
  </si>
  <si>
    <t>```json
{
  "thought": "The student's solution is incorrect as all test cases have failed. The solution is complete with several potential issues. The packet length extraction seems incorrect as the test inputs suggest packet length should be from bytes 2-3, not 3-4.",
  "is_complete": true,
  "is_correct": false,
  "errors_or_next_steps": "Packet length extraction is wrong; check byte range for accurate retrieval.",
  "hint_first_draft": "Double-check the byte range for extracting packet length; it's crucial for calculations.",
  "reflection": "The logic for extracting packet lengths seems misaligned with the test case descriptions. Identifying and correcting this can greatly impact the solution's accuracy.",
  "hint": "Double-check the byte range for extracting packet length; it's crucial for calculations."
}
```</t>
  </si>
  <si>
    <t>6.529531002044678</t>
  </si>
  <si>
    <t>The hint about double-checking the byte range for the packet length aligns with the expected hint that the number of bytes extracted was incorrect.</t>
  </si>
  <si>
    <t>It only suggests a single step (verifying the extracted range) and does not propose multiple actions.</t>
  </si>
  <si>
    <t>It does not include any Python code or specific code snippets.</t>
  </si>
  <si>
    <t>```json
{
  "thought": "The test case results indicate that the solution is incorrect as all test cases failed. The solution is complete as it attempts to parse and handle both IP ranges and computes the totals. A syntax error is observed in how hexadecimal slicing is being performed for packet length.",
  "is_complete": true,
  "is_correct": false,
  "errors_or_next_steps": "Incorrect slicing of packet length as it should include different bytes.",
  "hint_first_draft": "Check how you're slicing for the packet length; ensure you're including the correct bytes in hexadecimal.",
  "reflection": "The solution logic seems organized, but a slice error on packet length can significantly alter results. Focusing on the immediate correction might help students rectify where data parsing goes astray.",
  "hint": "Check the slicing for packet length; ensure you're capturing the correct bytes in hexadecimal."
}
```</t>
  </si>
  <si>
    <t>2.587502956390381</t>
  </si>
  <si>
    <t>The hint aligns with the expected hint about incorrect extraction of packet length bytes.</t>
  </si>
  <si>
    <t>It suggests only one step: verifying the slicing for packet length.</t>
  </si>
  <si>
    <t>```json
{
  "thought": "The solution is incorrect as indicated by all test cases failing. The solution is trying to calculate total bytes based on certain IP ranges. However, there seems to be a potential issue with string slicing to extract hexadecimal values for the packet length.",
  "is_complete": true,
  "is_correct": false,
  "errors_or_next_steps": "There's a mistake when slicing the string to get the packet length. Double-check the byte positions and lengths.",
  "hint_first_draft": "Check the string slicing positions for extracting the packet length and ensure it's consistent with the specified byte range.",
  "reflection": "The hint identifies an issue that would have a significant impact on the correctness, as the packet length determines the totals. Avoiding specific coding terms is difficult but achieved while keeping it helpful.",
  "hint": "Check the string slicing positions for extracting the packet length and ensure it's consistent with the specified byte range."
}
```</t>
  </si>
  <si>
    <t>2.7157061100006104</t>
  </si>
  <si>
    <t>Both the given hint and the expected hint focus on the issue of extracting the correct bytes for the packet length.</t>
  </si>
  <si>
    <t>The hint suggests only checking the slicing positions (i.e., a single action).</t>
  </si>
  <si>
    <t>No specific Python code or snippet is included in the hint.</t>
  </si>
  <si>
    <t>```json
{
  "thought_on_correctness": "The solution is incorrect based on the test case results, as it fails all provided tests.",
  "thought_on_completeness": "The solution appears complete in terms of logic structure.",
  "thought_on_next_steps": "N/A",
  "thought_on_errors": "There is a logical error in parsing hexadecimal values for packet lengths, leading to incorrect results.",
  "hint_first_draft": "Check how you parse hexadecimal strings for packet lengths. Ensure you're using the correct indices for conversion.",
  "reflection": "After evaluating the code, the main issue stems from incorrect slicing of the hex strings. The hint helps the student focus on fixing this parsing problem without needing a comprehensive rewrite.",
  "hint": "Check how you parse hexadecimal strings for packet lengths. Ensure you're using the correct indices for conversion."
}
```</t>
  </si>
  <si>
    <t>2.8572123050689697</t>
  </si>
  <si>
    <t>The hint correctly aligns with the idea of improperly extracting the packet length (the expected hint addresses incorrect byte extraction for packet length).</t>
  </si>
  <si>
    <t>It offers a single clear next step‚Äîverifying how the hexadecimal string for packet length is parsed using the correct indices‚Äîrather than multiple distinct steps.</t>
  </si>
  <si>
    <t>No specific Python code or snippet is given; the hint is purely descriptive without code examples.</t>
  </si>
  <si>
    <t>```json
{
  "thought_on_correctness": "The solution is incorrect based on the test case results as all test cases failed.",
  "thought_on_completeness": "The solution appears complete as it attempts to cover all necessary portions of the task.",
  "thought_on_next_steps": "N/A",
  "thought_on_errors": "A logical error exists in how the packet length is calculated; length_hex is extracted incorrectly.",
  "hint_first_draft": "Check how you extract the packet length in the header hex string. Ensure it's done correctly.",
  "reflection": "The hint focuses on correcting the packet length extraction as it likely causes incorrect results.",
  "hint": "Check how you extract the packet length in the header hex string. Ensure it's done correctly."
}
```</t>
  </si>
  <si>
    <t>2.3042149543762207</t>
  </si>
  <si>
    <t>The provided hint and the expected hint both address the extraction of the packet length from the header being incorrect.</t>
  </si>
  <si>
    <t>It only suggests verifying the extraction of the length, which is a single next step to check.</t>
  </si>
  <si>
    <t>No specific Python code or code snippets are included in the hint.</t>
  </si>
  <si>
    <t>```json
{
  "thought_on_correctness": "The solution is incorrect based on the test case results.",
  "thought_on_completeness": "The solution appears complete.",
  "thought_on_next_steps": "N/A",
  "thought_on_errors": "There's a syntax error in extracting part of the packet; ensure correct substring indices for packet length and IPs.",
  "hint_first_draft": "Check how you're extracting the packet length and IP parts; the substring indices might be off.",
  "reflection": "I identified a syntax issue with how portions of the packet are extracted based on the header's structure. Highlighting this key extraction issue should guide the student to review the index ranges used.",
  "hint": "Check how you're extracting the packet length and IP parts; the substring indices might be off."
}
```</t>
  </si>
  <si>
    <t>2.4741058349609375</t>
  </si>
  <si>
    <t>The hint does address checking how the packet length is extracted, which matches the intention of the expected hint about incorrect length extraction (even though it also mentions IP parts).</t>
  </si>
  <si>
    <t>It suggests verifying two separate extractions (packet length and IP parts), implying more than one next step.</t>
  </si>
  <si>
    <t>No specific Python code or code snippets are provided in the hint.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</si>
  <si>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ship_internal_bytes = 0
    passenger_wifi_bytes = 0
    # Function to convert IP address string to integer
    def ip_str_to_int(ip_str):
        parts = list(map(int, ip_str.split('.')))
        return (parts[0] &lt;&lt; 24) + (parts[1] &lt;&lt; 16) + (parts[2] &lt;&lt; 8) + parts[3]
    # Ship internal systems IP range (192.168.0.0 - 192.168.254.254)
    ship_internal_start = ip_str_to_int('192.168.0.0')
    ship_internal_end = ip_str_to_int('192.168.254.254')
    # Passenger wifi IP range (10.0.0.0 - 10.0.254.254)
    passenger_wifi_start = ip_str_to_int('10.0.0.0')
    passenger_wifi_end = ip_str_to_int('10.0.254.254')
    for packet in data:
        packet = packet.strip()
        length_hex = packet[4:7]
        packet_length = int(length_hex, 16)
        source_ip_hex = packet[24:31]
        source_ip_bytes = [int(source_ip_hex[i:i+2], 16)
                           for i in range(0, 8, 2)]
        source_ip_int = (source_ip_bytes[0] &lt;&lt; 24) + (source_ip_bytes[1] &lt;&lt; 16) + \
                        (source_ip_bytes[2] &lt;&lt; 8) + source_ip_bytes[3]
        dest_ip_hex = packet[31:39]
        dest_ip_bytes = [int(dest_ip_hex[i:i+2], 16) for i in range(0, 8, 2)]
        dest_ip_int = (dest_ip_bytes[0] &lt;&lt; 24) + (dest_ip_bytes[1] &lt;&lt; 16) + \
                      (dest_ip_bytes[2] &lt;&lt; 8) + dest_ip_bytes[3]
        if ship_internal_start &lt;= source_ip_int &lt;= ship_internal_end or \
           ship_internal_start &lt;= dest_ip_int &lt;= ship_internal_end:
            ship_internal_bytes += packet_length
        if passenger_wifi_start &lt;= source_ip_int &lt;= passenger_wifi_end or \
           passenger_wifi_start &lt;= dest_ip_int &lt;= passenger_wifi_end:
            passenger_wifi_bytes += packet_length
    return f"{ship_internal_bytes}/{passenger_wifi_bytes}"
Test Case Results:
{'testCases': [{'actualOutput': '24/37', 'passed': False, 'userPrints': '', 'testCase': {'input': ['450000640000000083069f3fc0a80001c0a80002', '450000c80000000083069f3f0A0000010A000002', '4500012c0000000083069f3fc0a800030A000003', '450001900000000083069f3f0A000004c0a80004'], 'expectedOutput': '800/900', 'description': 'simple test'}}, {'actualOutput': '31/49',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'4095/4083', 'passed': False,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0, 'numFailed': 3, 'stderr': ''}
</t>
  </si>
  <si>
    <t>{"hint": "Your extraction for the packet length is off‚Äîadjust your slice to capture the full two-byte segment rather than missing a character."}</t>
  </si>
  <si>
    <t>19.98309898376465</t>
  </si>
  <si>
    <t>The provided hint accurately addresses the same issue as the expected hint: not extracting the correct number of bytes for the packet length.</t>
  </si>
  <si>
    <t>The hint points to a single adjustment‚Äîfixing the slice to capture two bytes‚Äîrather than multiple steps.</t>
  </si>
  <si>
    <t>It doesn't provide explicit code or snippets, only a textual explanation.</t>
  </si>
  <si>
    <t>{"hint": "The slice for the packet length is off; adjust it to capture four hex digits so both bytes are correctly included."}</t>
  </si>
  <si>
    <t>14.540912866592407</t>
  </si>
  <si>
    <t>The hint accurately describes that the slice is incorrect for capturing the full packet length, aligning with the expected hint about not extracting the correct number of bytes.</t>
  </si>
  <si>
    <t>It suggests a single action (fixing the slice range) rather than providing multiple steps.</t>
  </si>
  <si>
    <t>It does not include any specific code snippet, just a short descriptive instruction.</t>
  </si>
  <si>
    <t>{
  "hint": "Your substring slices for the packet length are off; double-check the indices to capture all needed hex digits."
}</t>
  </si>
  <si>
    <t>12.042301893234253</t>
  </si>
  <si>
    <t>The hint directly addresses the issue of incorrect substring slices for packet length, which matches the expected hint about not extracting the correct number of bytes.</t>
  </si>
  <si>
    <t>It only suggests a single next step: double-check the substring indices. No additional actions are mentioned.</t>
  </si>
  <si>
    <t>questions/broken_firewall/3_logical.py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</si>
  <si>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def parse_packet(packet):
        # Extract length (bytes 4-7) and convert from hex to int
        length = int(packet[4:8], 16)
        # Extract and convert source IP (bytes 24-31)
        src_ip = int(packet[24:32], 16)
        # Extract and convert destination IP (bytes 32-39)
        dst_ip = int(packet[32:40], 16)
        return length, src_ip, dst_ip
    def is_internal_ip(ip):
        # 192.168.0.0 to 192.168.254.254
        # Compare only first 2 bytes with 0xC0A8 (192.168)
        return (ip &gt;&gt; 16) == 0xC0A8
    def is_passenger_ip(ip):
        first = (ip &gt;&gt; 24) &amp; 0xFF
        second = (ip &gt;&gt; 16) &amp; 0xFF
        third = (ip &gt;&gt; 8) &amp; 0xFF
        fourth = ip &amp; 0xFF
        return (first == 0x0A and
                second == 0x00 and
                third &lt;= 254 and
                fourth &lt;= 254)
    internal_traffic = 0
    passenger_traffic = 0
    for packet in data:
        length, src_ip, dst_ip = parse_packet(packet)
        # Check source and destination IPs
        if is_internal_ip(src_ip):
            internal_traffic += length
        if is_passenger_ip(src_ip):
            passenger_traffic += length
    return f"{internal_traffic}/{passenger_traffic}"
Test Case Results:
{'testCases': [{'actualOutput': '400/600', 'passed': False, 'userPrints': '', 'testCase': {'input': ['450000640000000083069f3fc0a80001c0a80002', '450000c80000000083069f3f0A0000010A000002', '4500012c0000000083069f3fc0a800030A000003', '450001900000000083069f3f0A000004c0a80004'], 'expectedOutput': '800/900', 'description': 'simple test'}}, {'actualOutput': '500/800',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'65542/65328', 'passed': True,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1, 'numFailed': 2, 'stderr': ''}
</t>
  </si>
  <si>
    <t>{
    "thought": "The solution is complete but incorrect for simpler test cases. The main issue is that the code only checks source IP but not destination IP for both internal and passenger traffic. This causes undercounting of bytes.",
    "is_complete": true,
    "is_correct": false,
    "errors_or_next_steps": "Only checking source IP addresses and not destination IPs for traffic calculations",
    "hint": "Remember to check both ends of the connection! Your traffic counter should increase if either the source OR destination matches the criteria."
}</t>
  </si>
  <si>
    <t>3.3145718574523926</t>
  </si>
  <si>
    <t>The hint correctly points out that both source and destination should be checked, matching the expected hint's intention.</t>
  </si>
  <si>
    <t>The hint suggests only one next step: include both source and destination addresses in the traffic count.</t>
  </si>
  <si>
    <t>No Python code snippets are included in the hint.</t>
  </si>
  <si>
    <t>You are only considering source destination addresses for network traffic</t>
  </si>
  <si>
    <t>{
    "thought": "Looking at the test results, the solution passes only 1 out of 3 tests. The code appears complete but has a logical error. The main issue is that it's not checking destination IPs when calculating traffic totals, only source IPs.",
    "is_complete": true,
    "is_correct": false,
    "errors_or_next_steps": "Code only checks source IP addresses when calculating traffic, ignoring destination IPs",
    "hint": "Remember, a packet contributes to the total if EITHER the source OR destination falls within the specified range. You're only checking one end of the connection!"
}</t>
  </si>
  <si>
    <t>4.083806991577148</t>
  </si>
  <si>
    <t>The hint emphasizes checking both source and destination within a specified range, mirroring the expected hint's concern about only considering one end of the connection.</t>
  </si>
  <si>
    <t>It suggests a single change (checking both source and destination) rather than multiple distinct steps.</t>
  </si>
  <si>
    <t>It does not include any specific Python code or code snippet.</t>
  </si>
  <si>
    <t>{
    "thought": "Looking at test cases, solution is incorrect for simpler cases but works for challenging case. Main issue is not counting destination IPs for traffic. Currently only source IPs are checked, missing half the packets.",
    "is_complete": true,
    "is_correct": false,
    "errors_or_next_steps": "Only checking source IP addresses for traffic calculation, missing destination IP checks",
    "hint": "Remember, a packet contributes to traffic if either end of the connection (source OR destination) belongs to the network range."
}</t>
  </si>
  <si>
    <t>3.6862080097198486</t>
  </si>
  <si>
    <t>The hint aligns with the expected hint's purpose: both imply considering source and destination for network traffic, whereas the code only looks at source addresses.</t>
  </si>
  <si>
    <t>It suggests only one action‚Äîchecking both source and destination‚Äîwithout detailing multiple steps.</t>
  </si>
  <si>
    <t>The hint contains no Python code or code snippets.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</si>
  <si>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def parse_packet(packet):
        # Extract length (bytes 4-7) and convert from hex to int
        length = int(packet[4:8], 16)
        # Extract and convert source IP (bytes 24-31)
        src_ip = int(packet[24:32], 16)
        # Extract and convert destination IP (bytes 32-39)
        dst_ip = int(packet[32:40], 16)
        return length, src_ip, dst_ip
    def is_internal_ip(ip):
        # 192.168.0.0 to 192.168.254.254
        # Compare only first 2 bytes with 0xC0A8 (192.168)
        return (ip &gt;&gt; 16) == 0xC0A8
    def is_passenger_ip(ip):
        first = (ip &gt;&gt; 24) &amp; 0xFF
        second = (ip &gt;&gt; 16) &amp; 0xFF
        third = (ip &gt;&gt; 8) &amp; 0xFF
        fourth = ip &amp; 0xFF
        return (first == 0x0A and
                second == 0x00 and
                third &lt;= 254 and
                fourth &lt;= 254)
    internal_traffic = 0
    passenger_traffic = 0
    for packet in data:
        length, src_ip, dst_ip = parse_packet(packet)
        # Check source and destination IPs
        if is_internal_ip(src_ip):
            internal_traffic += length
        if is_passenger_ip(src_ip):
            passenger_traffic += length
    return f"{internal_traffic}/{passenger_traffic}"
Test Case Results:
{'testCases': [{'actualOutput': '400/600', 'passed': False, 'userPrints': '', 'testCase': {'input': ['450000640000000083069f3fc0a80001c0a80002', '450000c80000000083069f3f0A0000010A000002', '4500012c0000000083069f3fc0a800030A000003', '450001900000000083069f3f0A000004c0a80004'], 'expectedOutput': '800/900', 'description': 'simple test'}}, {'actualOutput': '500/800',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'65542/65328', 'passed': True,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1, 'numFailed': 2, 'stderr': ''}
</t>
  </si>
  <si>
    <t>{
    "thought": "Looking at the test results, the solution passes one test but fails two. The logical issue is likely in how IP addresses are counted - the code only checks source IPs but not destination IPs. The task requires checking both.",
    "is_complete": true,
    "is_correct": false,
    "errors_or_next_steps": "Only checking source IP addresses but not destination IP addresses for traffic counting",
    "hint_first_draft": "Remember to check both ends of the communication - where packets come from AND where they're going!",
    "reflection": "The hint is clear, conversational, and points to the specific logic error without giving away the exact solution or using technical terms.",
    "hint": "Hey! Don't forget to check both sides of the conversation. A packet has two addresses - where it's coming from and where it's going!"
}</t>
  </si>
  <si>
    <t>4.895773887634277</t>
  </si>
  <si>
    <t>The hint conveys the same idea as the expected hint: it's telling the user they need to consider both source and destination addresses, which matches the intention of the expected hint.</t>
  </si>
  <si>
    <t>It only suggests addressing a single omission (checking the destination address), which can be done in a single step.</t>
  </si>
  <si>
    <t>It does not include any code or code snippets.</t>
  </si>
  <si>
    <t>{
    "thought": "Looking at the test results, the solution is incorrect for 2 out of 3 test cases. The main issue appears to be that the code only checks source IP but not destination IP for traffic calculation. The structure is complete but has this logical error.",
    "is_complete": true,
    "is_correct": false,
    "errors_or_next_steps": "Traffic calculation only considers source IP, ignoring destination IP in both internal and passenger checks",
    "hint_first_draft": "Don't forget to check both ends of the connection! Your traffic calculation should consider both source and destination addresses.",
    "reflection": "The hint effectively points out the missing destination IP check without explicitly giving away the solution. It uses a metaphor of 'both ends' which makes it more conversational.",
    "hint": "Remember, data flows both ways! You're only checking one end of the connection right now."
}</t>
  </si>
  <si>
    <t>5.506221771240234</t>
  </si>
  <si>
    <t>The provided hint and the expected hint both point out that only one side of the connection is being considered; they match in intention.</t>
  </si>
  <si>
    <t>It suggests a single action (also check the other side), rather than multiple next steps.</t>
  </si>
  <si>
    <t>The hint does not provide any Python code or code snippets.</t>
  </si>
  <si>
    <t>{
  "thought": "Looking at test results, solution fails 2/3 cases. Looking at the code, I notice destination IPs aren't being checked, only source IPs. This is causing incorrect byte totals since packets with internal/passenger destination IPs aren't being counted.",
  "is_complete": true,
  "is_correct": false,
  "errors_or_next_steps": "Only checking source IP addresses, ignoring destination IPs in traffic calculations",
  "hint_first_draft": "You're checking where packets come from, but not where they're going! Don't forget to look at both ends of the connection.",
  "reflection": "Hint is clear, conversational, and points to the specific issue without giving away the exact solution or using technical terms. It uses a real-world analogy that's easy to understand.",
  "hint": "Hey! You're only looking at where packets come from, but not where they're going. Make sure to check both ends of the connection!"
}</t>
  </si>
  <si>
    <t>5.732797861099243</t>
  </si>
  <si>
    <t>The hint aligns with the intention of reminding the user to consider destination addresses as well as source addresses, matching the expected hint's emphasis on including more than just source addresses.</t>
  </si>
  <si>
    <t>The hint suggests only one additional step: checking the destination address in addition to the source, which can be done with minimal changes.</t>
  </si>
  <si>
    <t>No specific Python code or snippet is provided in the hint.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</si>
  <si>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def parse_packet(packet):
        # Extract length (bytes 4-7) and convert from hex to int
        length = int(packet[4:8], 16)
        # Extract and convert source IP (bytes 24-31)
        src_ip = int(packet[24:32], 16)
        # Extract and convert destination IP (bytes 32-39)
        dst_ip = int(packet[32:40], 16)
        return length, src_ip, dst_ip
    def is_internal_ip(ip):
        # 192.168.0.0 to 192.168.254.254
        # Compare only first 2 bytes with 0xC0A8 (192.168)
        return (ip &gt;&gt; 16) == 0xC0A8
    def is_passenger_ip(ip):
        first = (ip &gt;&gt; 24) &amp; 0xFF
        second = (ip &gt;&gt; 16) &amp; 0xFF
        third = (ip &gt;&gt; 8) &amp; 0xFF
        fourth = ip &amp; 0xFF
        return (first == 0x0A and
                second == 0x00 and
                third &lt;= 254 and
                fourth &lt;= 254)
    internal_traffic = 0
    passenger_traffic = 0
    for packet in data:
        length, src_ip, dst_ip = parse_packet(packet)
        # Check source and destination IPs
        if is_internal_ip(src_ip):
            internal_traffic += length
        if is_passenger_ip(src_ip):
            passenger_traffic += length
    return f"{internal_traffic}/{passenger_traffic}"
Test Case Results:
{'testCases': [{'actualOutput': '400/600', 'passed': False, 'userPrints': '', 'testCase': {'input': ['450000640000000083069f3fc0a80001c0a80002', '450000c80000000083069f3f0A0000010A000002', '4500012c0000000083069f3fc0a800030A000003', '450001900000000083069f3f0A000004c0a80004'], 'expectedOutput': '800/900', 'description': 'simple test'}}, {'actualOutput': '500/800',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'65542/65328', 'passed': True,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1, 'numFailed': 2, 'stderr': ''}
</t>
  </si>
  <si>
    <t>{
    "thought_on_correctness": "Solution is incorrect as it fails 2 out of 3 test cases",
    "thought_on_completeness": "Solution is complete but has logical errors",
    "thought_on_next_steps": "N/A as solution is complete",
    "thought_on_errors": "The solution only checks source IP but not destination IP for both internal and passenger traffic calculations",
    "hint_first_draft": "Don't forget to check both ends of the connection! You're only looking at where the packet is coming from, but not where it's going.",
    "reflection": "Hint is concise, conversational, and points out the key logical error without giving away the exact solution or using technical terms",
    "hint": "Hey! Remember to check both ends of the connection - where the packet comes from AND where it's going to!"
}</t>
  </si>
  <si>
    <t>4.736699104309082</t>
  </si>
  <si>
    <t>The hint aligns with the intention to consider both source and destination addresses for traffic calculations.</t>
  </si>
  <si>
    <t>It only suggests one additional action: checking the destination IP as well.</t>
  </si>
  <si>
    <t>{
    "thought_on_correctness": "Solution is incorrect as it fails 2 out of 3 test cases",
    "thought_on_completeness": "Solution is complete but has logical errors",
    "thought_on_next_steps": "N/A - solution is complete but needs fixing",
    "thought_on_errors": "The code only checks source IP but not destination IP for traffic calculation, missing half of the relevant packets",
    "hint_first_draft": "Don't forget to check both ends of the connection! Your code is only looking at where packets come from, not where they're going.",
    "reflection": "Hint is concise, avoids technical terms, and points to the specific logical error without giving away the solution",
    "hint": "Remember to check both the sender and receiver of each packet to get the complete picture!"
}</t>
  </si>
  <si>
    <t>4.914586067199707</t>
  </si>
  <si>
    <t>The hint directs the user to also consider the receiver addresses, matching the expected hint's intention to consider more than just source addresses.</t>
  </si>
  <si>
    <t>It only suggests a single next step: check the receiver IP in addition to the sender IP.</t>
  </si>
  <si>
    <t>It does not provide any specific Python code or code snippets.</t>
  </si>
  <si>
    <t>{
    "thought_on_correctness": "Solution is incorrect based on failing 2 out of 3 test cases",
    "thought_on_completeness": "Solution is complete but has logical errors",
    "thought_on_next_steps": "Not applicable as solution is complete",
    "thought_on_errors": "The solution only checks source IP but not destination IP for internal and passenger traffic",
    "hint_first_draft": "Remember to consider both the sender and receiver when counting traffic. Currently, you're only looking at one side of the conversation.",
    "reflection": "The hint focuses on the main logical error without giving away the solution explicitly. It uses a conversation-style analogy that's easy to understand.",
    "hint": "Think about a phone call - both the caller and receiver are important! Are you checking both ends of each packet?"
}</t>
  </si>
  <si>
    <t>5.317401885986328</t>
  </si>
  <si>
    <t>The hint correctly points out that both source and destination address checks are needed, matching the expected hint‚Äôs intention.</t>
  </si>
  <si>
    <t>It suggests only one main step: also check the destination IP (receiver) as well as the source (caller).</t>
  </si>
  <si>
    <t>It does not provide any Python code or specific code snippets.</t>
  </si>
  <si>
    <t>```json
{
  "thought_on_correctness": "is solution incorrect based on the test case results",
  "thought_on_completeness": "is solution complete",
  "thought_on_next_steps": "ensure you're extracting the correct bytes for the packet length",
  "thought_on_errors": "syntax error in extracting the length",
  "hint_first_draft": "Check the byte indices when extracting the packet length; you might be off by one.",
  "reflection": "The student's main parsing logic seems generally correct, but crucial byte offsets need attention, specifically for extracting the packet length, indicative of a syntax issue.",
  "hint": "Ensure you're using the right byte offsets for parsing the packet length!"
}
```</t>
  </si>
  <si>
    <t>11.538953065872192</t>
  </si>
  <si>
    <t>The hint about using the right byte offsets for length parsing does not match the intention of focusing on the source and destination addresses.</t>
  </si>
  <si>
    <t>It suggests only one next step: checking the correct packet length offset.</t>
  </si>
  <si>
    <t>No Python code or specific code snippet is provided in the hint.</t>
  </si>
  <si>
    <t>```json
{
  "thought_on_correctness": "is solution incorrect based on the test case results",
  "thought_on_completeness": "is solution complete",
  "thought_on_next_steps": "Review how you‚Äôre extracting the packet length and IP addresses",
  "thought_on_errors": "Incorrectly extracting the packet length from the wrong bytes",
  "hint_first_draft": "Check the byte indices used for extracting length, source and destination IPs.",
  "reflection": "The solution did not pass all test cases, indicating errors in logic. I focused on the main extraction process, which was a likely area of error.",
  "hint": "Check the byte indices used for extracting length, source and destination IPs."
}
```</t>
  </si>
  <si>
    <t>2.9321699142456055</t>
  </si>
  <si>
    <t>The given hint focuses on verifying byte indices, while the expected hint addresses the overall logic of only considering source and destination addresses for traffic. They do not align in intention.</t>
  </si>
  <si>
    <t>It suggests a single action: checking the byte indices for length, source, and destination IPs.</t>
  </si>
  <si>
    <t>No Python code snippets or specific implementation details are provided.</t>
  </si>
  <si>
    <t>{
  "thought_on_correctness": "is solution correct based on the test case results",
  "thought_on_completeness": "is solution complete",
  "thought_on_next_steps": "if solution is incomplete, what is the likely next step",
  "thought_on_errors": "find any errors in the solution",
  "hint_first_draft": "You‚Äôre almost there! Check the byte ranges in your IP extraction method; the source and destination IPs might not be extracted correctly.",
  "reflection": "The solution shows some correct logic but fails in certain areas. I identified potential errors in IP extraction which might affect results. The hint highlights one specific area to improve without overcrowding the student with too many points.",
  "hint": "Review the byte positions for extracting the source and destination IPs from the packet."
}</t>
  </si>
  <si>
    <t>5.261602878570557</t>
  </si>
  <si>
    <t>The provided hint focuses on verifying the byte offsets for IP extraction, whereas the expected hint emphasizes that only source/destination addresses are being considered for network traffic, so they do not match in intention.</t>
  </si>
  <si>
    <t>It suggests only a single action (review the byte positions) rather than multiple new steps.</t>
  </si>
  <si>
    <t>No specific Python code or snippets are mentioned in the hint.</t>
  </si>
  <si>
    <t>```json
{
  "thought": "Based on the test case results, the solution is incorrect as only 1 out of 3 cases passed. The student's solution is complete, observing the expected functions and outputs. There's a logical error in handling the source and destination IPs.",
  "is_complete": true,
  "is_correct": false,
  "errors_or_next_steps": "Logical error in handling destination IPs.",
  "hint": "Ensure to also check the destination IPs when determining IP range categories."
}
```</t>
  </si>
  <si>
    <t>1.9251022338867188</t>
  </si>
  <si>
    <t>The hint aligns with the expected advice to include destination IP checks; both address adding destination IP considerations.</t>
  </si>
  <si>
    <t>It only suggests one action (also checking the destination IP), not multiple next steps.</t>
  </si>
  <si>
    <t>No code snippet or explicit Python code is provided in the hint.</t>
  </si>
  <si>
    <t>```json
{
  "thought": "The solution is incorrect as it fails some test cases. The solution is complete but doesn't handle both source and destination IPs for each range, leading to inaccurate byte counts.",
  "is_correct": false,
  "is_complete": true,
  "errors_or_next_steps": "Solution does not check both source and destination IPs for internal and passenger ranges.",
  "hint": "Ensure you check both the source and destination IPs for each range to get accurate byte totals."
}
```</t>
  </si>
  <si>
    <t>2.2518601417541504</t>
  </si>
  <si>
    <t>The hint aligns with the expected hint, emphasizing the need to check destination IPs as well as source IPs.</t>
  </si>
  <si>
    <t>It calls for multiple actions (checking both internal and passenger ranges) for both source and destination IPs.</t>
  </si>
  <si>
    <t>No code examples or Python snippets are provided in the hint.</t>
  </si>
  <si>
    <t>```json
{
  "thought": "The solution is incorrect as it only passed one out of three test cases. It seems to be a complete solution, but the function's handling of packet parsing likely contains a logical error. Specifically, the indices used for extracting packet lengths are incorrect.",
  "is_complete": true,
  "is_correct": false,
  "errors_or_next_steps": "Review the extraction of packet lengths; check the starting index.",
  "hint": "Ensure you are extracting the packet length from the correct byte range."
}
```</t>
  </si>
  <si>
    <t>2.1737399101257324</t>
  </si>
  <si>
    <t>The provided hint focuses on ensuring the packet length extraction is correct, which does not match the expected hint about only considering source/destination addresses for network traffic.</t>
  </si>
  <si>
    <t>It only suggests verifying the byte range for packet length extraction, so there's just a single action.</t>
  </si>
  <si>
    <t>No Python code or specific snippets are provided in the hint.</t>
  </si>
  <si>
    <t>```json
{
    "thought": "The solution is incorrect based on the test case results, as it passed only one of the three cases. The student's solution is picking the wrong index and incorrect byte ranges for extraction in some parts.",
    "is_complete": true,
    "is_correct": false,
    "errors_or_next_steps": "The length and IP extraction use incorrect byte ranges.",
    "hint_first_draft": "Check the byte indices when extracting the packet length and IP addresses.",
    "reflection": "The hint guides the student towards examining their byte extraction logic, which seems to be the critical issue. The suggestion is concise and relevant to the problem they need to solve.",
    "hint": "Check the byte indices when extracting the packet length and IP addresses."
}
```</t>
  </si>
  <si>
    <t>2.3600120544433594</t>
  </si>
  <si>
    <t>The hint about checking byte indices does not match the intention of the expected hint about only considering source and destination addresses for network traffic.</t>
  </si>
  <si>
    <t>It suggests a single general action (checking/fixing indices), which can be done in very few lines of code.</t>
  </si>
  <si>
    <t>```json
{
  "thought": "The solution is incorrect as only one out of the three test cases passed successfully. The hint should address the cause of incorrect outputs, prioritizing syntax errors over logical ones. In this case, the solution incorrectly parses IP bytes and checks only source IPs for conditions.",
  "is_complete": true,
  "is_correct": false,
  "errors_or_next_steps": "Logical error: Destination IPs are not checked for internal or passenger conditions.",
  "hint_first_draft": "Remember to check both source and destination IPs for internal and passenger range conditions.",
  "reflection": "My thought process identified the solution as incorrect because of its failure in multiple test cases. The hint pinpoints the problem in checking conditions only for source IPs, aligning with the test expectations.",
  "hint": "Remember to check both source and destination IPs for internal and passenger range conditions."
}
```</t>
  </si>
  <si>
    <t>2.6099040508270264</t>
  </si>
  <si>
    <t>The hint correctly addresses that both source and destination IPs should be checked, aligning with the expected hint to not limit checks to only source addresses.</t>
  </si>
  <si>
    <t>It implies adding checks for destination IPs under two conditions (internal and passenger), which is more than one next step.</t>
  </si>
  <si>
    <t>The hint does not provide any explicit Python code or snippets.</t>
  </si>
  <si>
    <t>```json
{
  "thought": "The student's solution correctly parses packet information and determines the lengths for IP ranges, but the test results show it failed 2 out of 3 cases, suggesting an issue. It's essential to address parsing errors because they take precedence.",
  "is_complete": true,
  "is_correct": false,
  "errors_or_next_steps": "Parsing error with byte locations.",
  "hint_first_draft": "Check byte positions when extracting packet length and IPs.",
  "reflection": "The hint addresses a critical parsing error, a common cause for incorrect output. Ensuring correct byte positions when extracting data is pivotal.",
  "hint": "Check byte positions when extracting packet length and IPs."
}
```</t>
  </si>
  <si>
    <t>The provided hint talks about verifying byte offsets, whereas the expected hint is about focusing on how the solution only considers source and destination addresses. They do not align in intention.</t>
  </si>
  <si>
    <t>The hint only suggests a single area to examine (checking byte positions). It does not outline multiple distinct actions.</t>
  </si>
  <si>
    <t>No Python code or specific code snippets are given in the hint, only a general instruction.</t>
  </si>
  <si>
    <t>```json
{
  "thought_on_correctness": "The solution is incorrect based on the test case results.",
  "thought_on_completeness": "The solution is complete.",
  "thought_on_next_steps": "N/A",
  "thought_on_errors": "There is an error in the way the IP conversion and comparison logic is handled for source and destination IPs.",
  "hint_first_draft": "Check the logic for converting and comparing IPs. Ensure both source and destination IPs fall within the specified ranges.",
  "reflection": "The student's solution is complete but has a logical error in IP handling. By pointing towards the IP conversion and comparison, the hint should guide them towards fixing the root of the problem.",
  "hint": "Check the logic for converting and comparing IPs. Ensure both source and destination IPs fall within the specified ranges."
}
```</t>
  </si>
  <si>
    <t>2.987710952758789</t>
  </si>
  <si>
    <t>It aligns with the expected hint by pointing out that both source and destination IP logic must be considered, which matches the intention of addressing missed destination checks.</t>
  </si>
  <si>
    <t>It suggests multiple actions: verifying IP conversion, comparing IP addresses, and ensuring both source and destination IP ranges get checked.</t>
  </si>
  <si>
    <t>```json
{
    "thought_on_correctness": "The solution is incorrect based on the test case results.",
    "thought_on_completeness": "The solution is incomplete.",
    "thought_on_next_steps": "Focus on checking both source and destination IPs for both internal and passenger ranges.",
    "thought_on_errors": "The solution only checks the source IP for internal and passenger range, missing destination IP checks.",
    "hint_first_draft": "You should also verify if the destination IP is in the internal or passenger range.",
    "reflection": "The solution does not fully address the problem as both source and destination IP checks are needed for all packets. The hint guides the student to address this missing part without diving into function specifics.",
    "hint": "You should also verify if the destination IP is in the internal or passenger range."
}
```</t>
  </si>
  <si>
    <t>The provided hint aligns with the expected hint by pointing out the omission of checking the destination IP addresses.</t>
  </si>
  <si>
    <t>It suggests only one concrete action: to verify the destination IP.</t>
  </si>
  <si>
    <t>```json
{
  "thought_on_correctness": "The solution is incorrect based on the test case results.",
  "thought_on_completeness": "The solution appears complete.",
  "thought_on_next_steps": "Not applicable since the solution is complete.",
  "thought_on_errors": "There is a logical error in the parsing of either source or destination IPs or in the range checking logic.",
  "hint_first_draft": "Check how you are extracting byte values for parsing source and destination IP addresses. There might be an offset issue.",
  "reflection": "I determined that while the code is complete, it fails to give the correct outputs consistently. Given the rules, I have identified an area in extracting IP addresses where potential errors might lie.",
  "hint": "Check how you are extracting byte values for parsing source and destination IP addresses. There might be an offset issue."
}
```</t>
  </si>
  <si>
    <t>3.1073217391967773</t>
  </si>
  <si>
    <t>The provided hint focuses on the byte extraction offset issue, whereas the expected hint concerns the concept of only considering source/destination addresses for traffic, so they do not match in intention.</t>
  </si>
  <si>
    <t>The hint only advises checking the offset in how bytes are extracted, which is a single step rather than multiple actions.</t>
  </si>
  <si>
    <t>The hint does not include any specific code or Python snippets.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</si>
  <si>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1000 IPv4 packet headers as hexadecimal strings. Each header encodes:
- A 16-bit packet length (located at bytes 3‚Äì4).
- A source IP (bytes 13‚Äì16).
- A destination IP (bytes 17‚Äì20).
The task is to compute:
- The total number of bytes for packets where either the source or destination IP falls within the ship‚Äôs internal systems range (`192.168.0.0` to `192.168.254.254`).
- The total number of bytes for packets where either the source or destination IP falls within the passenger wifi range (`10.0.0.0` to `10.0.254.254`).
Finally, output the ratio of the ship's internal bytes to the passenger wifi bytes in the format `internal_total/passenger_total`.
**Example:**
For a small set of packet headers, if the computed totals are 868 bytes (internal) and 1625 bytes (wifi), the expected output is:
```
868/1625
```
Student Solution:
def solution(data):
    def parse_packet(packet):
        # Extract length (bytes 4-7) and convert from hex to int
        length = int(packet[4:8], 16)
        # Extract and convert source IP (bytes 24-31)
        src_ip = int(packet[24:32], 16)
        # Extract and convert destination IP (bytes 32-39)
        dst_ip = int(packet[32:40], 16)
        return length, src_ip, dst_ip
    def is_internal_ip(ip):
        # 192.168.0.0 to 192.168.254.254
        # Compare only first 2 bytes with 0xC0A8 (192.168)
        return (ip &gt;&gt; 16) == 0xC0A8
    def is_passenger_ip(ip):
        first = (ip &gt;&gt; 24) &amp; 0xFF
        second = (ip &gt;&gt; 16) &amp; 0xFF
        third = (ip &gt;&gt; 8) &amp; 0xFF
        fourth = ip &amp; 0xFF
        return (first == 0x0A and
                second == 0x00 and
                third &lt;= 254 and
                fourth &lt;= 254)
    internal_traffic = 0
    passenger_traffic = 0
    for packet in data:
        length, src_ip, dst_ip = parse_packet(packet)
        # Check source and destination IPs
        if is_internal_ip(src_ip):
            internal_traffic += length
        if is_passenger_ip(src_ip):
            passenger_traffic += length
    return f"{internal_traffic}/{passenger_traffic}"
Test Case Results:
{'testCases': [{'actualOutput': '400/600', 'passed': False, 'userPrints': '', 'testCase': {'input': ['450000640000000083069f3fc0a80001c0a80002', '450000c80000000083069f3f0A0000010A000002', '4500012c0000000083069f3fc0a800030A000003', '450001900000000083069f3f0A000004c0a80004'], 'expectedOutput': '800/900', 'description': 'simple test'}}, {'actualOutput': '500/800', 'passed': False, 'userPrints': '', 'testCase': {'input': ['450000640000000083069f3fc0a80001c0a80002', '450000c80000000083069f3f0A0000010A000002', '4500012c0000000083069f3f8c7b00010A000003', '450001900000000083069f3fc0a80003d4287b04', '450002580000000083069f3f0A000005ae241b06', '450003200000000083069f3fae241b07c0a80006'], 'expectedOutput': '1300/1100', 'description': 'medium test'}}, {'actualOutput': '65542/65328', 'passed': True, 'userPrints': '', 'testCase': {'input': ['45000001000000008306f39fc0a87f01c0a8ff02', '45000002000000008306f39fc0a80001c0a80000', '45000004000000008306f39fc0a8fe01c0a8fffe', '45000008000000008306f39f0A00ff010A00ff02', '45000010000000008306f39f0A0000010A000000', '45000020000000008306f39f0A00fe010A00fffe', '45ffffff000000008306f39fc0a80001c0a80002', '45ffff00000000008306f39f0A0000010A000002'], 'expectedOutput': '65542/65328', 'description': 'challenging test'}}], 'numPassed': 1, 'numFailed': 2, 'stderr': ''}
</t>
  </si>
  <si>
    <t>{"hint": "Your code only checks the source address. Try adding a check for the destination address to tally the proper traffic."}</t>
  </si>
  <si>
    <t>10.248918056488037</t>
  </si>
  <si>
    <t>The hint accurately identifies that the code only checks the source address for traffic classification, matching the expected hint's intention.</t>
  </si>
  <si>
    <t>It suggests adding a single check (for the destination IP), not multiple.</t>
  </si>
  <si>
    <t>{"hint": "You're almost there! Notice you only check one IP address; consider including the other address in your traffic sum calculation."}</t>
  </si>
  <si>
    <t>5.424520969390869</t>
  </si>
  <si>
    <t>They both address the same issue: only one IP address is currently being considered for traffic calculation.</t>
  </si>
  <si>
    <t>The hint suggests only one clear next step: include the other address in the calculation.</t>
  </si>
  <si>
    <t>{
  "hint": "Your solution only checks the source address. Consider adding a condition to process the destination address as well."
}</t>
  </si>
  <si>
    <t>5.117547988891602</t>
  </si>
  <si>
    <t>Both hints convey the same idea: the solution should also consider checking the destination address.</t>
  </si>
  <si>
    <t>The hint proposes a single next step: add a condition for the destination address.</t>
  </si>
  <si>
    <t>The hint is purely descriptive and does not include any specific code snippets.</t>
  </si>
  <si>
    <t>closest_starsystems</t>
  </si>
  <si>
    <t>questions/closest_starsystems/1_incomplete.py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</si>
  <si>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 Parse input data into list of coordinates
    stars = []
    for star_data in data:
        parts = star_data.split(': ')[1].strip().split(',')
        stars.append([float(parts[1]), float(parts[2]), float(parts[3])])
Test Case Results:
{'testCases': [{'actualOutput': 'None', 'passed': False, 'userPrints': '', 'testCase': {'input': ['Star A: 1.0, 0.0, 0.0, 0.0', 'Star B: 1.0, 0.0, 2.0, 0.0', 'Star C: 1.0, 2.0, 1.0, 0.0'], 'expectedOutput': 2, 'description': ''}}, {'actualOutput': 'None', 'passed': False, 'userPrints': '', 'testCase': {'input': ['Alpha: 3.5, 1.0, -1.0, 2.0', 'Beta: 4.2, 2.0, -1.5, 2.5', 'Gamma: 5.1, -1.0, 2.0, -2.0', 'Delta: 2.8, -1.2, 2.3, -2.1', 'Epsilon: 6.3, 3.0, -2.0, 3.0'], 'expectedOutput': 0.374, 'description': ''}}], 'numPassed': 0, 'numFailed': 2, 'stderr': ''}
</t>
  </si>
  <si>
    <t>{
    "thought": "The solution is incomplete as it only parses the coordinates but doesn't calculate distances between stars. Need to guide student to implement distance calculation between pairs of stars.",
    "is_complete": false,
    "is_correct": false,
    "errors_or_next_steps": "Missing calculation of distances between star pairs and finding minimum distance",
    "hint": "You've got the coordinates parsed nicely! Now, try comparing each star with every other star to find the distances between them. Think about using nested loops."
}</t>
  </si>
  <si>
    <t>2.7590839862823486</t>
  </si>
  <si>
    <t>The hint aligns well with the expected hint of iterating over the stars to compute distances.</t>
  </si>
  <si>
    <t>It suggests a single step: using nested loops to compare stars and find distances, without multiple distinct actions.</t>
  </si>
  <si>
    <t>No explicit Python code or code snippets are given in the hint.</t>
  </si>
  <si>
    <t>You need to iterate over the stars array and compute distances</t>
  </si>
  <si>
    <t>{
    "thought": "The solution is incomplete as it only parses the coordinates but doesn't calculate distances. The next immediate step should be to calculate distances between pairs of stars using nested loops.",
    "is_complete": false,
    "is_correct": false,
    "errors_or_next_steps": "Missing calculation of distances between star pairs and finding minimum distance",
    "hint": "After getting coordinates, try comparing each star with every other star. Think about how you'd find the shortest path between any two points in space."
}</t>
  </si>
  <si>
    <t>2.8266890048980713</t>
  </si>
  <si>
    <t>The hint aligns with the intention of computing distances among the stars by comparing each star with every other.</t>
  </si>
  <si>
    <t>It suggests more than one step: performing pairwise comparisons and also thinking about the shortest path calculation.</t>
  </si>
  <si>
    <t>{
    "thought": "The solution is incomplete as it only parses the coordinates but doesn't calculate distances. No return statement exists. Next step would be to implement distance calculation between pairs.",
    "is_complete": false,
    "is_correct": false,
    "errors_or_next_steps": "Missing distance calculation between pairs of stars and return statement",
    "hint": "Now that you have your coordinates stored, try finding the shortest path between any two stars. Think about comparing each star with every other star."
}</t>
  </si>
  <si>
    <t>The hint aligns with the idea of iterating over the star coordinates and computing distances between them, which matches the intention of the expected hint.</t>
  </si>
  <si>
    <t>It only suggests a single action (comparing each star with every other star).</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</si>
  <si>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 Parse input data into list of coordinates
    stars = []
    for star_data in data:
        parts = star_data.split(': ')[1].strip().split(',')
        stars.append([float(parts[1]), float(parts[2]), float(parts[3])])
Test Case Results:
{'testCases': [{'actualOutput': 'None', 'passed': False, 'userPrints': '', 'testCase': {'input': ['Star A: 1.0, 0.0, 0.0, 0.0', 'Star B: 1.0, 0.0, 2.0, 0.0', 'Star C: 1.0, 2.0, 1.0, 0.0'], 'expectedOutput': 2, 'description': ''}}, {'actualOutput': 'None', 'passed': False, 'userPrints': '', 'testCase': {'input': ['Alpha: 3.5, 1.0, -1.0, 2.0', 'Beta: 4.2, 2.0, -1.5, 2.5', 'Gamma: 5.1, -1.0, 2.0, -2.0', 'Delta: 2.8, -1.2, 2.3, -2.1', 'Epsilon: 6.3, 3.0, -2.0, 3.0'], 'expectedOutput': 0.374, 'description': ''}}], 'numPassed': 0, 'numFailed': 2, 'stderr': ''}
</t>
  </si>
  <si>
    <t>{
  "thought": "The solution is incomplete. Student has only parsed the coordinates but hasn't implemented distance calculation or minimum finding. Next immediate step would be calculating distances between pairs of stars.",
  "is_complete": false,
  "is_correct": false,
  "errors_or_next_steps": "Missing implementation of distance calculation between star pairs",
  "hint_first_draft": "You've got the coordinates stored correctly. Now try calculating the distance between two stars - maybe start with just the first two stars to test your math?",
  "reflection": "The hint should guide them to the next logical step without giving away the solution. Focusing on calculating distance between just two stars first makes the problem more manageable.",
  "hint": "Nice start with getting those coordinates! Now try finding the distance between two stars first - remember the three-dimensional space formula we use to find distance between points?"
}</t>
  </si>
  <si>
    <t>4.659789085388184</t>
  </si>
  <si>
    <t>The hint aligns with the concept of computing distances in 3D, which matches the main idea of the expected hint.</t>
  </si>
  <si>
    <t>It only suggests a single step: finding the distance between two stars using the 3D formula.</t>
  </si>
  <si>
    <t>No specific Python code or code snippets are provided.</t>
  </si>
  <si>
    <t>{
    "thought": "The solution is incomplete as it only parses the coordinates but doesn't calculate distances. There's no distance calculation logic or return statement. The first step to fix is implementing the distance calculation between pairs of stars.",
    "is_complete": false,
    "is_correct": false,
    "errors_or_next_steps": "Missing distance calculation between star pairs and return statement for minimum distance",
    "hint_first_draft": "You've got the coordinates parsed, now try comparing each star with every other star to find the shortest distance between any pair.",
    "reflection": "The hint should guide them to the next logical step without explicitly mentioning programming terms. It should focus on the conceptual understanding of comparing pairs.",
    "hint": "Now that you have the star positions, you need to find the closest pair. Think about comparing each star with all others to find who's nearest to whom."
}</t>
  </si>
  <si>
    <t>The hint aligns with the expected action of iterating over the stars to compute distances in order to find the closest pair.</t>
  </si>
  <si>
    <t>It suggests essentially one next step: compare each star with all others to find the nearest pair.</t>
  </si>
  <si>
    <t>No specific Python code or snippets are provided.</t>
  </si>
  <si>
    <t>{
    "thought": "The solution is incomplete. The student has correctly started by parsing the coordinates, but hasn't implemented the distance calculation between pairs or finding the minimum distance. They need to add the distance calculation next.",
    "is_complete": false,
    "is_correct": false,
    "errors_or_next_steps": "Missing implementation of distance calculation between star pairs and finding minimum distance",
    "hint_first_draft": "You've got the coordinates stored nicely! Now try comparing each star with every other star to find how far apart they are from each other.",
    "reflection": "The hint should guide them towards implementing distance calculations without giving away the exact solution. It should focus on the immediate next step of comparing pairs.",
    "hint": "Great start extracting the coordinates! Next, try calculating how far apart each star is from every other star, using pairs. Think about nested loops."
}</t>
  </si>
  <si>
    <t>4.596011161804199</t>
  </si>
  <si>
    <t>The hint aligns with the expected hint of iterating over the stars array to compute distances.</t>
  </si>
  <si>
    <t>It suggests one main action (calculating distances with nested loops), not multiple distinct next steps.</t>
  </si>
  <si>
    <t>It mentions no explicit Python code or code snippets; only a conceptual approach.</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</si>
  <si>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 Parse input data into list of coordinates
    stars = []
    for star_data in data:
        parts = star_data.split(': ')[1].strip().split(',')
        stars.append([float(parts[1]), float(parts[2]), float(parts[3])])
Test Case Results:
{'testCases': [{'actualOutput': 'None', 'passed': False, 'userPrints': '', 'testCase': {'input': ['Star A: 1.0, 0.0, 0.0, 0.0', 'Star B: 1.0, 0.0, 2.0, 0.0', 'Star C: 1.0, 2.0, 1.0, 0.0'], 'expectedOutput': 2, 'description': ''}}, {'actualOutput': 'None', 'passed': False, 'userPrints': '', 'testCase': {'input': ['Alpha: 3.5, 1.0, -1.0, 2.0', 'Beta: 4.2, 2.0, -1.5, 2.5', 'Gamma: 5.1, -1.0, 2.0, -2.0', 'Delta: 2.8, -1.2, 2.3, -2.1', 'Epsilon: 6.3, 3.0, -2.0, 3.0'], 'expectedOutput': 0.374, 'description': ''}}], 'numPassed': 0, 'numFailed': 2, 'stderr': ''}
</t>
  </si>
  <si>
    <t>{
    "thought_on_correctness": "Solution is incorrect as all test cases are failing and returning None",
    "thought_on_completeness": "Solution is incomplete. It only parses the coordinates but doesn't calculate distances or find minimum",
    "thought_on_next_steps": "After parsing coordinates, need to calculate distances between all pairs of stars",
    "thought_on_errors": "No major errors in existing code, but missing implementation for distance calculation and finding minimum",
    "hint_first_draft": "Great start with parsing! Now think about how to find the distance between two points in space. You'll need to compare each star with every other star.",
    "reflection": "Hint is conversational, focuses on immediate next step, avoids explicit programming terms, and guides without giving away solution",
    "hint": "You've got the coordinates nicely organized! Next, try calculating how far apart any two stars are from each other in space."
}</t>
  </si>
  <si>
    <t>4.522244930267334</t>
  </si>
  <si>
    <t>The hint aligns with the expected hint about computing distances between stars.</t>
  </si>
  <si>
    <t>It suggests only a single action (calculating distances) without additional steps.</t>
  </si>
  <si>
    <t>{
    "thought_on_correctness": "Solution is incorrect as all test cases are failing",
    "thought_on_completeness": "Solution is incomplete",
    "thought_on_next_steps": "After parsing coordinates, need to calculate distances between all pairs of stars and find minimum",
    "thought_on_errors": "No calculation of distances is implemented, and no return statement exists",
    "hint_first_draft": "Try finding the distance between two stars first. Loop through pairs of stars and calculate how far apart they are from each other.",
    "reflection": "Hint focuses on immediate next step without giving away specific implementation details or functions",
    "hint": "After getting the coordinates, try finding how far apart two stars are from each other. Then expand to check all possible pairs."
}</t>
  </si>
  <si>
    <t>4.010055065155029</t>
  </si>
  <si>
    <t>The hint aligns with the idea of iterating over the stars to compute distances between pairs.</t>
  </si>
  <si>
    <t>It suggests first finding the distance for two stars, then expanding to all pairs‚Äîtwo distinct actions.</t>
  </si>
  <si>
    <t>{
    "thought_on_correctness": "Solution is incorrect as all test cases are failing",
    "thought_on_completeness": "Solution is incomplete as it only parses the coordinates but doesn't calculate distances",
    "thought_on_next_steps": "After parsing coordinates, need to calculate distances between each pair of stars",
    "thought_on_errors": "No calculation of distances or return statement implemented",
    "hint_first_draft": "Now that you have the coordinates, try comparing each star with every other star to find the shortest path between them.",
    "reflection": "Hint focuses on immediate next step without giving away specific functions or methods. Maintains conversational tone and under 50 words.",
    "hint": "Great start with getting the coordinates! Next, try comparing each star with every other star - like measuring the space between them. Which pair is closest?"
}</t>
  </si>
  <si>
    <t>3.9915480613708496</t>
  </si>
  <si>
    <t>The hint aligns with the expected hint of iterating over the stars to compute distances.</t>
  </si>
  <si>
    <t>The hint suggests a single next step: compare each star to find the closest pair, without detailing multiple distinct actions.</t>
  </si>
  <si>
    <t>No Python code or specific code snippet is provided.</t>
  </si>
  <si>
    <t>{
  "thought_on_correctness": "incorrect",
  "thought_on_completeness": "incomplete",
  "thought_on_next_steps": "include the computation of distances between stars",
  "thought_on_errors": "the solution does not return a value",
  "hint_first_draft": "Make sure to calculate the distances between star pairs and return the smallest one.",
  "reflection": "The solution is incorrect based on failing test cases and is also incomplete as it lacks the distance calculation. The hint should guide the student towards implementing that calculation.",
  "hint": "Make sure to calculate the distances between star pairs and return the smallest one."
}</t>
  </si>
  <si>
    <t>2.8946261405944824</t>
  </si>
  <si>
    <t>The hint aligns well with the expected hint's goal of computing distances between star pairs. Adding that the smallest distance should be returned does not conflict with the original intention.</t>
  </si>
  <si>
    <t>The hint describes one main action: compute distances and return the smallest, rather than multiple distinct steps.</t>
  </si>
  <si>
    <t>The hint does not contain any specific code or snippets.</t>
  </si>
  <si>
    <t>```json
{
  "thought_on_correctness": "is solution correct based on the test case results",
  "thought_on_completeness": "is solution complete",
  "thought_on_next_steps": "if solution is incomplete, what is the likely next step",
  "thought_on_errors": "find any errors in the solution",
  "hint_first_draft": "It looks like you're not returning or printing the final distance. Make sure to include that in your results.",
  "reflection": "I assessed the output and found that the problem is due to not returning a value. It's crucial to ensure the final result is provided.",
  "hint": "Make sure to return the computed smallest distance at the end."
}
```</t>
  </si>
  <si>
    <t>4.853811979293823</t>
  </si>
  <si>
    <t>The expected hint focuses on iterating over the stars array and computing distances, while the provided hint only mentions returning the smallest distance, which does not match the original intention.</t>
  </si>
  <si>
    <t>It suggests only a single step: returning the smallest distance. It does not outline any other actions or details.</t>
  </si>
  <si>
    <t>{
  "thought_on_correctness": "is solution correct based on the test case results",
  "thought_on_completeness": "is solution complete",
  "thought_on_next_steps": "if solution is incomplete, what is the likely next step",
  "thought_on_errors": "find any errors in the solution",
  "hint_first_draft": "It seems like your solution isn't returning anything. Make sure to return the smallest distance after calculations.",
  "reflection": "The solution is incomplete as it's not producing output. The next step is clear: ensure the output is returned.",
  "hint": "Add a return statement to provide the final smallest distance after calculating."
}</t>
  </si>
  <si>
    <t>3.1881773471832275</t>
  </si>
  <si>
    <t>The given hint focuses on returning the smallest distance, while the expected hint is about iterating over the stars array to compute distances. They do not match in intention.</t>
  </si>
  <si>
    <t>The hint suggests only a single action‚Äîadding a return statement‚Äîrather than multiple steps.</t>
  </si>
  <si>
    <t>The hint does not contain any explicit Python code or code snippets.</t>
  </si>
  <si>
    <t>```json
{
  "thought": "The solution is incorrect because none of the test cases passed. The solution is incomplete as it only parses the coordinates but doesn't calculate the Euclidean distance or find the minimum distance.",
  "is_complete": false,
  "is_correct": false,
  "errors_or_next_steps": "The next step is to implement the calculation of the Euclidean distance between pairs of coordinates.",
  "hint": "Focus on calculating the distance between pairs of points using the given formula."
}
```</t>
  </si>
  <si>
    <t>1.641953706741333</t>
  </si>
  <si>
    <t>The hint is consistent with the expected hint about focusing on computing distances among the points in the array.</t>
  </si>
  <si>
    <t>It suggests only a single step: calculating the distance, without mentioning additional actions or steps.</t>
  </si>
  <si>
    <t>No code snippets or Python-specific implementation details are provided.</t>
  </si>
  <si>
    <t>```json
{
  "thought": "The solution is incorrect as all test cases failed. The solution parse elements correctly but doesn't proceed to calculate distances, indicating incompleteness.",
  "is_complete": false,
  "is_correct": false,
  "errors_or_next_steps": "Proceed to compute the Euclidean distance between each pair of star coordinates.",
  "hint": "Try calculating the distances between each pair of parsed coordinates next."
}
```</t>
  </si>
  <si>
    <t>1.3781659603118896</t>
  </si>
  <si>
    <t>Hint aligns with the expected suggestion of computing distances for each pair of stars.</t>
  </si>
  <si>
    <t>It only suggests one next action: calculate distances. There are no additional steps mentioned.</t>
  </si>
  <si>
    <t>It does not include any Python code or specific snippets.</t>
  </si>
  <si>
    <t>```json
{
  "thought": "The student's solution is incorrect based on the test case results. The output is 'None', indicating an incomplete solution where computing distances and finding the minimum is missing.",
  "is_complete": false,
  "is_correct": false,
  "errors_or_next_steps": "The solution currently only parses coordinates but doesn't calculate distances or return a result.",
  "hint": "After parsing coordinates, focus on calculating the Euclidean distance between each pair."
}
```</t>
  </si>
  <si>
    <t>1.6998107433319092</t>
  </si>
  <si>
    <t>Both the provided hint and the expected hint guide towards computing distances among parsed coordinates, so they match in intention.</t>
  </si>
  <si>
    <t>The hint only suggests one clear step: calculating distances. It doesn't recommend multiple different actions.</t>
  </si>
  <si>
    <t>No explicit Python code or snippets are included in the hint.</t>
  </si>
  <si>
    <t>```json
{
  "thought": "The student solution is incorrect as it did not pass any test cases. The test cases returned 'None', indicating the function does not return any value. The solution is also incomplete because besides parsing the data, it doesn't compute the distances or return the smallest one.",
  "is_complete": false,
  "is_correct": false,
  "errors_or_next_steps": "The function needs to compute Euclidean distances and return the smallest one.",
  "hint_first_draft": "Make sure your function computes distances and returns the smallest value.",
  "reflection": "The hint aims to guide the student towards completing the function by focusing on the missing computations and return statement, ensuring the next step is clear.",
  "hint": "Make sure your function computes distances and returns the smallest value."
}
```</t>
  </si>
  <si>
    <t>2.365194797515869</t>
  </si>
  <si>
    <t>Both hints focus on computing distances in the stars array, aligning in intention.</t>
  </si>
  <si>
    <t>It suggests computing distances and also returning the smallest value, which are multiple actions even if they can be short in code.</t>
  </si>
  <si>
    <t>No actual Python code snippet or specific syntax is provided in the hint.</t>
  </si>
  <si>
    <t>```json
{
  "thought": "The student's solution isn't providing the expected output since it returns 'None' for all test cases. This indicates an incomplete implementation. The student has parsed the coordinates but hasn't yet computed the distances or returned the smallest one.",
  "is_complete": false,
  "is_correct": false,
  "errors_or_next_steps": "The student needs to proceed to compute the distances between each pair of stars.",
  "hint_first_draft": "You've parsed the coordinates nicely. Next, calculate the distances between each pair of stars.",
  "reflection": "The hint effectively guides the student towards the next logical step by clarifying that they should focus on calculating the distances between stars, which is currently missing.",
  "hint": "You've parsed the coordinates nicely. Next, calculate the distances between each pair of stars."
}
```</t>
  </si>
  <si>
    <t>2.5157692432403564</t>
  </si>
  <si>
    <t>The hint aligns with the intent to calculate distances between each pair of stars, matching the expected hint's goal.</t>
  </si>
  <si>
    <t>It only suggests a single step (calculating distances) without multiple distinct actions.</t>
  </si>
  <si>
    <t>```json
{
  "thought": "The test case results show that the solution is incorrect since no test case passed. The solution is incomplete because it stops after parsing, without calculating distances or returning the smallest one.",
  "is_complete": false,
  "is_correct": false,
  "errors_or_next_steps": "The solution only parses coordinates. Computations and comparisons for distances are missing.",
  "hint_first_draft": "After extracting coordinates, focus on calculating distances between each pair of stars.",
  "reflection": "By focusing on what the solution lacks entirely, I steer the student toward the next crucial implementation step, ensuring progress toward a full solution.",
  "hint": "After extracting coordinates, focus on calculating distances between each pair of stars."
}
```</t>
  </si>
  <si>
    <t>2.3500208854675293</t>
  </si>
  <si>
    <t>Both the given hint and expected hint involve focusing on computing distances from the extracted star coordinates, so the intention matches.</t>
  </si>
  <si>
    <t>The hint suggests only one action: calculate distances between pairs of stars.</t>
  </si>
  <si>
    <t>```json
{
  "thought_on_correctness": "is solution correct based on the test case results",
  "thought_on_completeness": "is solution complete",
  "thought_on_next_steps": "if solution is incomplete, what is the likely next step",
  "thought_on_errors": "find any errors in the solution",
  "hint_first_draft": "Your current code processes star data but doesn't compute distances. Focus on calculating distances between pairs next.",
  "reflection": "The solution doesn't produce the expected output or even output anything meaningful, indicating the task isn't complete. The parsing step is done, but the function lacks the calculation of distances and returning the result. The hint should guide the student to focus on calculating distances.",
  "hint": "Your current code processes star data but doesn't compute distances. Focus on calculating distances between pairs next."
}
```</t>
  </si>
  <si>
    <t>2.545314073562622</t>
  </si>
  <si>
    <t>The hint aligns with the expected instruction to compute distances, matching the same goal of iterating over the stars data.</t>
  </si>
  <si>
    <t>It suggests only one main action: focusing on calculating distances between pairs.</t>
  </si>
  <si>
    <t>```json
{
  "thought_on_correctness": "The solution is incorrect based on the test case results.",
  "thought_on_completeness": "The solution is incomplete.",
  "thought_on_next_steps": "Implement the functionality to calculate and compare all pairs of distances.",
  "thought_on_errors": "The solution stops after parsing data and does not perform distance calculations.",
  "hint_first_draft": "Great start with parsing! Try calculating distances between each pair of coordinates next.",
  "reflection": "The student has correctly parsed the data, but they need to focus on distance computation to complete the solution. The hint directs them toward considering this step without solving the problem.",
  "hint": "Great start with parsing! Try calculating distances between each pair of coordinates next."
}
```</t>
  </si>
  <si>
    <t>2.3851778507232666</t>
  </si>
  <si>
    <t>The hint aligns with the expected action of computing distances between pairs of stars.</t>
  </si>
  <si>
    <t>It suggests only one clear next action: calculating distances. There aren't multiple distinct steps described.</t>
  </si>
  <si>
    <t>```json
{
  "thought_on_correctness": "The solution is incorrect based on the test case results.",
  "thought_on_completeness": "The solution is incomplete.",
  "thought_on_next_steps": "Implement the calculation of the Euclidean distance between each pair of stars.",
  "thought_on_errors": "The function currently only parses the coordinates but does not calculate the distances.",
  "hint_first_draft": "After extracting the coordinates, compute the distance between each pair of stars.",
  "reflection": "The key issue with the student's solution is its incompleteness. The initial parsing step is correct, but the core part of solving the problem‚Äîcalculating distances‚Äîis missing as evidenced by the 'None' outputs.",
  "hint": "After extracting the coordinates, compute the distance between each pair of stars."
}
```</t>
  </si>
  <si>
    <t>2.486859083175659</t>
  </si>
  <si>
    <t>The hint aligns with the expected hint of calculating distances for each pair of stars.</t>
  </si>
  <si>
    <t>It only suggests one action: computing distances. No additional steps are detailed.</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</si>
  <si>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 Parse input data into list of coordinates
    stars = []
    for star_data in data:
        parts = star_data.split(': ')[1].strip().split(',')
        stars.append([float(parts[1]), float(parts[2]), float(parts[3])])
Test Case Results:
{'testCases': [{'actualOutput': 'None', 'passed': False, 'userPrints': '', 'testCase': {'input': ['Star A: 1.0, 0.0, 0.0, 0.0', 'Star B: 1.0, 0.0, 2.0, 0.0', 'Star C: 1.0, 2.0, 1.0, 0.0'], 'expectedOutput': 2, 'description': ''}}, {'actualOutput': 'None', 'passed': False, 'userPrints': '', 'testCase': {'input': ['Alpha: 3.5, 1.0, -1.0, 2.0', 'Beta: 4.2, 2.0, -1.5, 2.5', 'Gamma: 5.1, -1.0, 2.0, -2.0', 'Delta: 2.8, -1.2, 2.3, -2.1', 'Epsilon: 6.3, 3.0, -2.0, 3.0'], 'expectedOutput': 0.374, 'description': ''}}], 'numPassed': 0, 'numFailed': 2, 'stderr': ''}
</t>
  </si>
  <si>
    <t>{"hint": "Your code only parses the coordinates. Next, calculate the Euclidean distance for each star pair and return the smallest value rounded to three decimals."}</t>
  </si>
  <si>
    <t>9.954888105392456</t>
  </si>
  <si>
    <t>The hint clearly states the need to calculate distances among star pairs and aligns with the expected hint about computing distances.</t>
  </si>
  <si>
    <t>It only outlines a single overall action (compute distances and return the minimum) rather than multiple separate steps.</t>
  </si>
  <si>
    <t>No explicit Python code or code snippets are provided in the hint.</t>
  </si>
  <si>
    <t>{"hint": "Your code only parses coordinates. Next, iterate through the unique pairs to compute their Euclidean distance and determine the minimum."}</t>
  </si>
  <si>
    <t>9.329453945159912</t>
  </si>
  <si>
    <t>The hint aligns with the expected instruction of iterating over the stars array to compute distances.</t>
  </si>
  <si>
    <t>It outlines only a single task‚Äîcalculating distances and finding the minimum‚Äîwithout suggesting multiple distinct next steps.</t>
  </si>
  <si>
    <t>No Python code snippet is provided; it's a general description of what to do.</t>
  </si>
  <si>
    <t>{"hint": "Your parsing is correct, but you haven't computed the distances. Next, calculate the Euclidean distances between pairs and return the smallest value rounded to three decimals."}</t>
  </si>
  <si>
    <t>18.010371208190918</t>
  </si>
  <si>
    <t>The hint appropriately advises computing distances, matching the expected step of iterating over the stars to calculate distances.</t>
  </si>
  <si>
    <t>It instructs both to calculate all distances and then find the smallest value (rounded), which are multiple actions.</t>
  </si>
  <si>
    <t>The hint does not include any Python code or specific implementation details.</t>
  </si>
  <si>
    <t>questions/closest_starsystems/2_incomplete.py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</si>
  <si>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stars_dict = {}
    for star_entry in data:
        star_name, coords_str = star_entry.split(': ')
        dist, x_str, y_str, z_str = coords_str.strip().split(',')
        stars_dict[star_name] = [float(x_str), float(y_str), float(z_str)]
    star_names = list(stars_dict.keys())
    min_distance = float('inf')
    i = 0
    while i &lt; len(star_names) - 1:
        j = i + 1
        while j &lt; len(star_names):
            x1, y1, z1 = stars_dict[star_names[i]]
            x2, y2, z2 = stars_dict[star_names[j]]
            distance = ((x1 - x2)**2 + (y1 - y2)**2 + (z1 - z2)**2)**0.5
Test Case Results:
{'testCases': [], 'numPassed': 0, 'numFailed': 0, 'stderr': ''}
</t>
  </si>
  <si>
    <t>{
    "thought": "The solution is incomplete. The code has the core logic for calculating distances but is missing the return statement with properly rounded result. The nested loop structure and distance calculation are correct.",
    "is_complete": false,
    "is_correct": false,
    "errors_or_next_steps": "Missing return statement with rounded distance value",
    "hint": "Great progress! Now you need to keep track of the smallest distance found and return it with exactly three decimal places at the end."
}</t>
  </si>
  <si>
    <t>2.756319761276245</t>
  </si>
  <si>
    <t>The hint aligns with the intention to maintain and update the smallest distance found, which matches 'check if distance is less than the minimum distance.'</t>
  </si>
  <si>
    <t>It suggests at least two actions: updating the minimum distance and formatting the final result to three decimals.</t>
  </si>
  <si>
    <t>No actual code snippet or Python function usage is provided.</t>
  </si>
  <si>
    <t>Good job so far. Next, Next we need to check if distance is less than the minimum distance</t>
  </si>
  <si>
    <t>{
    "thought": "The solution appears incomplete as it's missing the final steps to update min_distance and return the rounded result. The nested loop structure and distance calculation are correct, but the code doesn't track or return anything.",
    "is_complete": false,
    "is_correct": false,
    "errors_or_next_steps": "Missing logic to update minimum distance and return rounded result",
    "hint": "You've calculated the distance between stars, but what should you do with that value? Think about tracking the smallest distance you've found so far."
}</t>
  </si>
  <si>
    <t>2.8660926818847656</t>
  </si>
  <si>
    <t>The hint aligns with the intention of noticing and updating the minimum distance found so far.</t>
  </si>
  <si>
    <t>It only suggests one next step: to track the smallest distance.</t>
  </si>
  <si>
    <t>The hint does not include explicit code or code snippets.</t>
  </si>
  <si>
    <t>{
    "thought": "The solution is incomplete as it's missing the final steps: updating min_distance, incrementing j, returning the rounded result. Solution seems logically correct so far but needs completion.",
    "is_complete": false,
    "is_correct": false,
    "errors_or_next_steps": "Missing min_distance update and return statement",
    "hint": "You're calculating distances correctly, but don't forget to keep track of the smallest one you've found and return it rounded to three decimal places!"
}</t>
  </si>
  <si>
    <t>2.9076149463653564</t>
  </si>
  <si>
    <t>The hint aligns with checking if the distance is less than the current minimum and implies returning that minimum, matching the intention of the expected hint.</t>
  </si>
  <si>
    <t>The hint suggests two actions: keep track of the smallest distance and then return it with three decimal places.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</si>
  <si>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stars_dict = {}
    for star_entry in data:
        star_name, coords_str = star_entry.split(': ')
        dist, x_str, y_str, z_str = coords_str.strip().split(',')
        stars_dict[star_name] = [float(x_str), float(y_str), float(z_str)]
    star_names = list(stars_dict.keys())
    min_distance = float('inf')
    i = 0
    while i &lt; len(star_names) - 1:
        j = i + 1
        while j &lt; len(star_names):
            x1, y1, z1 = stars_dict[star_names[i]]
            x2, y2, z2 = stars_dict[star_names[j]]
            distance = ((x1 - x2)**2 + (y1 - y2)**2 + (z1 - z2)**2)**0.5
Test Case Results:
{'testCases': [], 'numPassed': 0, 'numFailed': 0, 'stderr': ''}
</t>
  </si>
  <si>
    <t>{
    "thought": "The solution is incomplete as it's missing the final return statement and distance rounding. The logic looks good up to calculating distance, but it needs to track minimum distance and return the final result rounded to 3 decimal places.",
    "is_complete": false,
    "is_correct": false,
    "errors_or_next_steps": "Missing final steps to track minimum distance and return rounded result",
    "hint_first_draft": "You've calculated the distances correctly, but what should we do with each distance after calculating it? Remember we need the smallest one.",
    "reflection": "The hint should guide them to think about tracking the minimum distance without explicitly telling them to use min() or round(). The conversational tone helps make it more engaging.",
    "hint": "You're on the right track with calculating distances! Now, for each distance you find, think about how you'll keep track of the smallest one you've seen so far."
}</t>
  </si>
  <si>
    <t>4.710384845733643</t>
  </si>
  <si>
    <t>The hint aligns with the expected hint's goal of checking if any newly computed distance is the smallest encountered so far.</t>
  </si>
  <si>
    <t>It only suggests a single action‚Äîkeeping track of the smallest distance‚Äîand doesn't propose multiple next steps.</t>
  </si>
  <si>
    <t>It does not include specific Python code or code snippets.</t>
  </si>
  <si>
    <t>{
    "thought": "The solution appears incomplete as it's missing the final return statement and rounding of the distance. The logic for distance calculation is correct but needs to be completed and rounded to 3 decimal places.",
    "is_complete": false,
    "is_correct": false,
    "errors_or_next_steps": "Missing final return statement with rounded minimum distance",
    "hint_first_draft": "You're on the right track with calculating distances, but don't forget to update the minimum distance and return it rounded to three decimal places.",
    "reflection": "The hint should focus on the immediate next step without giving away the exact solution. It should remind them about updating and returning the final answer.",
    "hint": "You're almost there! After calculating each distance, make sure to keep track of the smallest one and return it with three decimal places."
}</t>
  </si>
  <si>
    <t>4.531218767166138</t>
  </si>
  <si>
    <t>The hint aligns with the expected hint by instructing to keep track of the smallest distance (i.e., checking if it's less than the current minimum).</t>
  </si>
  <si>
    <t>The hint suggests two actions: updating the minimum distance and returning it with three decimal places.</t>
  </si>
  <si>
    <t>No Python code snippet is provided; it's a high-level instruction without explicit code.</t>
  </si>
  <si>
    <t>{
    "thought": "Looking at the solution, I notice it's incomplete. The function has the core logic for parsing coordinates and calculating distances, but is missing the final step of returning the minimum distance rounded to 3 decimal places. Also missing updating min_distance and incrementing j in the loop.",
    "is_complete": false,
    "is_correct": false,
    "errors_or_next_steps": "Missing return statement with rounded minimum distance, incomplete while loop logic",
    "hint_first_draft": "Your calculation looks good, but what should happen with that distance you calculated? Think about updating and returning your final answer.",
    "reflection": "The hint should be more specific about the immediate next step while maintaining conversational tone and avoiding explicit programming terms.",
    "hint": "You're on the right track! After calculating each distance, don't forget to keep track of the smallest one you've found so far."
}</t>
  </si>
  <si>
    <t>The hint aligns with the expected goal of comparing the current distance with the minimum distance and updating accordingly.</t>
  </si>
  <si>
    <t>It only suggests one action (keeping track of the smallest distance), not multiple steps.</t>
  </si>
  <si>
    <t>The hint does not contain specific Python code or snippets.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</si>
  <si>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stars_dict = {}
    for star_entry in data:
        star_name, coords_str = star_entry.split(': ')
        dist, x_str, y_str, z_str = coords_str.strip().split(',')
        stars_dict[star_name] = [float(x_str), float(y_str), float(z_str)]
    star_names = list(stars_dict.keys())
    min_distance = float('inf')
    i = 0
    while i &lt; len(star_names) - 1:
        j = i + 1
        while j &lt; len(star_names):
            x1, y1, z1 = stars_dict[star_names[i]]
            x2, y2, z2 = stars_dict[star_names[j]]
            distance = ((x1 - x2)**2 + (y1 - y2)**2 + (z1 - z2)**2)**0.5
Test Case Results:
{'testCases': [], 'numPassed': 0, 'numFailed': 0, 'stderr': ''}
</t>
  </si>
  <si>
    <t>{
    "thought_on_correctness": "Cannot determine correctness as no test cases were provided",
    "thought_on_completeness": "Solution is incomplete",
    "thought_on_next_steps": "Need to complete the while loop by updating min_distance and returning it rounded to 3 decimal places",
    "thought_on_errors": "No logical errors in current code, but solution is incomplete",
    "hint_first_draft": "You're almost there! After calculating the distance between stars, don't forget to keep track of the smallest distance and return it with proper rounding.",
    "reflection": "Hint focuses on immediate next step without giving away specific code, maintains conversational tone, and is concise",
    "hint": "After finding each distance between star pairs, remember to track the smallest one you've seen so far!"
}</t>
  </si>
  <si>
    <t>4.276379108428955</t>
  </si>
  <si>
    <t>Yes, the hint aligns with the idea of checking if the current distance is smaller than the minimum distance.</t>
  </si>
  <si>
    <t>The hint suggests only a single action: updating the smallest distance seen so far.</t>
  </si>
  <si>
    <t>No Python code snippets or specific code details are provided.</t>
  </si>
  <si>
    <t>{
    "thought_on_correctness": "Solution appears incorrect as it's incomplete - test cases can't run",
    "thought_on_completeness": "Solution is incomplete - missing return statement and closing brackets",
    "thought_on_next_steps": "Need to complete the nested loop structure and add return statement with rounded result",
    "thought_on_errors": "No syntax errors in current code, but missing closing of loops and final return statement",
    "hint_first_draft": "Your calculation looks good! Now you need to track the smallest distance and return it with proper rounding.",
    "reflection": "Hint focuses on immediate next step without giving away code, maintains conversational tone, and is under 50 words",
    "hint": "You've got the distance calculation working! Now just keep track of the smallest distance you find and don't forget to return your final answer rounded to three decimal places."
}</t>
  </si>
  <si>
    <t>4.797490835189819</t>
  </si>
  <si>
    <t>The hint aligns with the expected intention: to keep track of and compare the distance to the minimum distance found so far.</t>
  </si>
  <si>
    <t>It suggests two steps: updating the smallest distance and rounding the final answer.</t>
  </si>
  <si>
    <t>{
    "thought_on_correctness": "Cannot determine correctness as no test cases were provided in results",
    "thought_on_completeness": "Solution is incomplete - missing return statement and rounding",
    "thought_on_next_steps": "Need to return the minimum distance rounded to three decimal places after the distance calculation",
    "thought_on_errors": "No logical errors in current code, but solution is incomplete",
    "hint_first_draft": "After finding the smallest distance, you'll need to round it and return it. Don't forget about decimal places!",
    "reflection": "The hint is concise, avoids technical terms, and focuses on the immediate next step without giving away the solution",
    "hint": "Almost there! After finding the smallest distance between stars, make sure to round it nicely before showing the result."
}</t>
  </si>
  <si>
    <t>3.895677089691162</t>
  </si>
  <si>
    <t>The provided hint focuses on rounding the distance, which does not match the expected hint about checking if the distance is less than the minimum distance.</t>
  </si>
  <si>
    <t>It suggests only one action (rounding the value).</t>
  </si>
  <si>
    <t>{
  "thought_on_correctness": "is solution correct based on the test case results",
  "thought_on_completeness": "is solution complete",
  "thought_on_next_steps": "if solution is incomplete, what is the likely next step",
  "thought_on_errors": "find any errors in the solution",
  "hint_first_draft": "Check that you properly return the smallest distance after computing it for each pair. You may also want to verify if all variables are correctly used.",
  "reflection": "The solution is incomplete as it does not return a value. The next step should focus on implementing the return statement for the smallest distance.",
  "hint": "Don't forget to return the smallest distance after calculating it for all pairs!"
}</t>
  </si>
  <si>
    <t>3.707885980606079</t>
  </si>
  <si>
    <t>The given hint focuses on returning the smallest distance, whereas the expected hint is about checking (and updating) the minimum distance. They do not match in intention.</t>
  </si>
  <si>
    <t>The hint suggests returning the minimum distance as a single step rather than multiple actions or steps.</t>
  </si>
  <si>
    <t>{
  "thought_on_correctness": "is solution correct based on the test case results",
  "thought_on_completeness": "is solution complete",
  "thought_on_next_steps": "if solution is incomplete, what is the likely next step",
  "thought_on_errors": "find any errors in the solution",
  "hint_first_draft": "It looks like you're missing the return statement for the minimum distance.",
  "reflection": "The solution is incomplete since it lacks a return statement. This is a key part of fulfilling the problem requirements. The next hint focuses on guiding the student to complete that action.",
  "hint": "Don't forget to return the smallest computed distance at the end."
}</t>
  </si>
  <si>
    <t>3.4764490127563477</t>
  </si>
  <si>
    <t>The provided hint focuses on returning the smallest distance, but the expected hint is about checking if the distance is less than the current minimum distance. These are different steps.</t>
  </si>
  <si>
    <t>The hint only mentions returning the computed distance and does not suggest multiple distinct actions.</t>
  </si>
  <si>
    <t>{
  "thought_on_correctness": "is solution correct based on the test case results",
  "thought_on_completeness": "is solution complete",
  "thought_on_next_steps": "if solution is incomplete, what is the likely next step",
  "thought_on_errors": "find any errors in the solution",
  "hint_first_draft": "You've parsed the star systems, but make sure to return the minimum distance after calculating it.",
  "reflection": "The solution is incomplete because it lacks a final return statement for the smallest distance. I focused on pointing out the necessity of completing the solution with a return method.",
  "hint": "Don't forget to return the minimum distance after calculating it!"
}</t>
  </si>
  <si>
    <t>3.6999640464782715</t>
  </si>
  <si>
    <t>The provided hint focuses on returning the minimum distance, while the expected hint is about checking if the computed distance is less than the current minimum distance.</t>
  </si>
  <si>
    <t>It only suggests a single next action (returning the minimum distance).</t>
  </si>
  <si>
    <t>```json
{
  "thought": "The solution appears to be incomplete since return statement and the rounding operation are missing. There are no test case results provided to determine if the solution is correct, so I need to assume it is incorrect. The next step should involve finalizing the calculations by including the return statement.",
  "is_complete": false,
  "is_correct": false,
  "errors_or_next_steps": "Incomplete return statement and rounding.",
  "hint": "Don't forget to calculate the smallest distance and ensure it is rounded before returning."
}
```</t>
  </si>
  <si>
    <t>1.7365789413452148</t>
  </si>
  <si>
    <t>Both the given and the expected hint revolve around ensuring the minimum distance is determined, so they align in intention.</t>
  </si>
  <si>
    <t>The hint suggests two distinct actions: calculating the smallest distance and rounding before returning.</t>
  </si>
  <si>
    <t>```json
{
  "thought": "The student solution has a parsing mistake. The distance value is being extracted from the input string instead of the coordinates. This can indicate an incorrect implementation. As there are no test cases provided nor passed or failed results, the solution is incomplete. The student does not calculate or return the result.",
  "is_complete": false,
  "is_correct": false,
  "errors_or_next_steps": "Check if you're parsing coordinates correctly from the input strings.",
  "hint": "Ensure you are extracting coordinates, not the distance value, from the input string."
}
```</t>
  </si>
  <si>
    <t>1.705564260482788</t>
  </si>
  <si>
    <t>The provided hint focuses on verifying coordinate extraction instead of checking if the distance is less than the minimum distance as expected.</t>
  </si>
  <si>
    <t>The hint addresses only one step (ensuring you are extracting coordinates correctly) rather than multiple next actions.</t>
  </si>
  <si>
    <t>The hint does not include any explicit code or code snippets.</t>
  </si>
  <si>
    <t>```json
{
  "thought": "The solution lacks a return statement, making it incomplete and unable to produce a result. It parses the star data and calculates distances but does not return the smallest one.",
  "is_complete": false,
  "is_correct": false,
  "errors_or_next_steps": "Add a return statement for the smallest distance.",
  "hint": "Don't forget to return the smallest calculated distance after finding it."
}
```</t>
  </si>
  <si>
    <t>The given hint emphasizes returning the minimum distance, while the expected hint focuses on updating the minimum distance if the newly computed distance is smaller. They do not match in intention.</t>
  </si>
  <si>
    <t>The hint suggests only a single action: returning the smallest distance. There is no additional next step mentioned.</t>
  </si>
  <si>
    <t>```json
{
  "thought": "The test case results are empty, suggesting the solution was not executed or no test cases were available. Therefore, I cannot definitively determine correctness. The solution lacks an implementation to finalize the computation and return the result, indicating that it is incomplete.",
  "is_complete": false,
  "is_correct": false,
  "errors_or_next_steps": "Add code to return the smallest computed distance after all pairs are checked.",
  "hint_first_draft": "You're almost there! Be sure to add the final step to return the smallest distance calculated.",
  "reflection": "The hint focuses on guiding the student towards adding the missing return statement without being too instructive. This should help them complete their solution.",
  "hint": "You're almost there! Be sure to add the final step to return the smallest distance calculated."
}
```</t>
  </si>
  <si>
    <t>2.645794153213501</t>
  </si>
  <si>
    <t>The expected hint focuses on updating the minimum distance if the new distance is smaller, whereas the given hint only mentions returning the smallest distance and does not reference the crucial check step.</t>
  </si>
  <si>
    <t>It only suggests one action (returning the smallest distance) rather than multiple next steps.</t>
  </si>
  <si>
    <t>It does not include any specific Python code or snippets.</t>
  </si>
  <si>
    <t>```json
{
  "thought": "The test case results show no tests were actually run, so I can't determine if the solution is correct or incorrect. The provided solution is incomplete as the smallest distance is not calculated or returned. The next step involves completing this portion.",
  "is_complete": false,
  "is_correct": false,
  "errors_or_next_steps": "Ensure the loop completes by storing and comparing distances, then round and return the smallest.",
  "hint_first_draft": "Make sure to complete the loops to find and return the smallest rounded distance.",
  "reflection": "The hint focuses on finishing the task by calculating the smallest distance, rounding it, and ensuring it's returned. This step is immediately necessary for any functional output.",
  "hint": "Make sure to complete the loops to find and return the smallest rounded distance."
}
```</t>
  </si>
  <si>
    <t>2.5402560234069824</t>
  </si>
  <si>
    <t>Both the given hint and the expected hint focus on finalizing the logic for finding the smallest distance, so they match in intention.</t>
  </si>
  <si>
    <t>The hint only suggests one main action‚Äîcompleting the loops and returning the smallest distance‚Äîwhich counts as a single step.</t>
  </si>
  <si>
    <t>```json
{
  "thought": "The student's solution doesn't contain the return statement, which is essential for any function. The minimal distance has been calculated in iterations, but it doesn't get returned or printed, indicating that the solution is incomplete.",
  "is_complete": false,
  "is_correct": false,
  "errors_or_next_steps": "Add a return statement at the end of the function to return the minimum distance.",
  "hint_first_draft": "You should return the computed minimum distance at the end of your function.",
  "reflection": "The solution misses a key component required for functioning correctly; returning the final result is essential. Providing a hint directing the student to the missing return statement fits the guidelines and helps them understand the importance of this statement.",
  "hint": "You should return the computed minimum distance at the end of your function."
}
```</t>
  </si>
  <si>
    <t>2.6584179401397705</t>
  </si>
  <si>
    <t>The hint focuses on returning the minimum distance, but the expected hint is about checking if the current distance is less than the stored minimum. These differ in intended action.</t>
  </si>
  <si>
    <t>The hint only suggests one action ‚Äì returning the minimum distance.</t>
  </si>
  <si>
    <t>It contains no specific Python code or snippets.</t>
  </si>
  <si>
    <t>```json
{
  "thought_on_correctness": "The solution seems incorrect because no test cases passed.",
  "thought_on_completeness": "The solution appears incomplete.",
  "thought_on_next_steps": "The solution is missing the return statement for the smallest distance.",
  "thought_on_errors": "The solution lacks a final step to output the computed minimum distance.",
  "hint_first_draft": "Remember to output the result after calculating the smallest distance.",
  "reflection": "Given the absence of errors or successes from the test cases, the hint focuses on ensuring that the solution properly outputs the computed result.",
  "hint": "Be sure to return the smallest distance once it's calculated."
}
```</t>
  </si>
  <si>
    <t>2.0359549522399902</t>
  </si>
  <si>
    <t>The expected hint focuses on checking and updating the minimum distance if the new distance is smaller, while the given hint only mentions returning the smallest distance. Therefore, they do not match in intention.</t>
  </si>
  <si>
    <t>The hint suggests only a single step (returning the smallest distance) rather than multiple next steps or actions.</t>
  </si>
  <si>
    <t>```json
{
  "thought_on_correctness": "The solution cannot be determined as correct or incorrect since there are no test results available.",
  "thought_on_completeness": "The solution is incomplete. The computation of distances is not concluded with returning the smallest distance.",
  "thought_on_next_steps": "The student needs to add a step to return the smallest distance after calculating it.",
  "thought_on_errors": "The solution lacks a return statement to output the result.",
  "hint_first_draft": "Don't forget to return the smallest distance found after your calculations.",
  "reflection": "The hint needed to point out the missing return statement, which is necessary for the function to actually output a result. It aligns well with the fact that the computation loop seems to be in place but lacks a conclusion.",
  "hint": "Don't forget to return the smallest distance found after your calculations."
}
```</t>
  </si>
  <si>
    <t>3.1672000885009766</t>
  </si>
  <si>
    <t>The expected hint focuses on checking if the distance is less than the min distance, whereas the given hint only addresses returning the final smallest distance, so they do not match in intention.</t>
  </si>
  <si>
    <t>It suggests a single action: returning the smallest distance.</t>
  </si>
  <si>
    <t>There is no Python code snippet or detailed code reference in the hint.</t>
  </si>
  <si>
    <t>```json
{
  "thought_on_correctness": "Test case results are not available to determine correctness.",
  "thought_on_completeness": "Solution is incomplete.",
  "thought_on_next_steps": "Complete the inner loop logic to calculate the minimum distance.",
  "thought_on_errors": "Loop does not update the minimum distance found.",
  "hint_first_draft": "Ensure you update and compare the calculated distance to find the smallest one.",
  "reflection": "The solution is clearly incomplete given the absence of logic for updating the minimum distance. The hint should guide the student towards completing this critical part.",
  "hint": "Ensure you update and compare the calculated distance to find the smallest one."
}
```</t>
  </si>
  <si>
    <t>2.2465429306030273</t>
  </si>
  <si>
    <t>The hint correctly aligns with the intention of comparing and updating the smallest distance.</t>
  </si>
  <si>
    <t>It only suggests one next step: compare and update the smallest distance if the new distance is smaller.</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</si>
  <si>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stars_dict = {}
    for star_entry in data:
        star_name, coords_str = star_entry.split(': ')
        dist, x_str, y_str, z_str = coords_str.strip().split(',')
        stars_dict[star_name] = [float(x_str), float(y_str), float(z_str)]
    star_names = list(stars_dict.keys())
    min_distance = float('inf')
    i = 0
    while i &lt; len(star_names) - 1:
        j = i + 1
        while j &lt; len(star_names):
            x1, y1, z1 = stars_dict[star_names[i]]
            x2, y2, z2 = stars_dict[star_names[j]]
            distance = ((x1 - x2)**2 + (y1 - y2)**2 + (z1 - z2)**2)**0.5
Test Case Results:
{'testCases': [], 'numPassed': 0, 'numFailed': 0, 'stderr': ''}
</t>
  </si>
  <si>
    <t>{"hint": "Your code is incomplete. Start by updating the minimum distance with the calculated value inside your loops and ensure you increment your inner loop. Then, return the rounded result."}</t>
  </si>
  <si>
    <t>6.996905088424683</t>
  </si>
  <si>
    <t>Both the given hint and the expected hint focus on checking (and possibly updating) the minimum distance, so they match in intention.</t>
  </si>
  <si>
    <t>The hint suggests multiple actions: updating min_distance, incrementing the inner loop, and returning the rounded result.</t>
  </si>
  <si>
    <t>No explicit code snippets or lines of Python code are provided in the hint.</t>
  </si>
  <si>
    <t>{"hint": "Your solution is incomplete. Try adding the inner loop counter update and ensure you return the final minimum distance."}</t>
  </si>
  <si>
    <t>6.293892860412598</t>
  </si>
  <si>
    <t>The provided hint focuses on the inner loop counter update and returning the distance, whereas the expected hint specifically mentions checking if distance is less than the minimum distance.</t>
  </si>
  <si>
    <t>It suggests two separate steps: updating the inner loop counter and returning the final result.</t>
  </si>
  <si>
    <t>It does not include any actual Python code or snippets.</t>
  </si>
  <si>
    <t>{"hint": "You're computing the distance, but haven't updated your smallest distance variable. Try comparing and updating it in your loop."}</t>
  </si>
  <si>
    <t>4.616921901702881</t>
  </si>
  <si>
    <t>The hint aligns with the expected hint by instructing to compare and update the smallest distance variable in the loop.</t>
  </si>
  <si>
    <t>It only suggests a single next step‚Äîcomparing and updating the minimum distance.</t>
  </si>
  <si>
    <t>The hint does not provide any specific Python code or code snippet.</t>
  </si>
  <si>
    <t>questions/closest_starsystems/3_incomplete.py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</si>
  <si>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from math import sqrt
def solution(data):
    closest_distance = 27
    for item in data:
        dims = item.split(":")[1].split(',')
        x_curr = float(dims[1])
        y_curr = float(dims[2])
        z_curr = float(dims[3])
        for other_item in data:
            if item == other_item:
                continue
            dims_other = other_item.split(":")[1].split(',')
            x_other = float(dims_other[1])
            y_other = float(dims_other[2])
            z_other = float(dims_other[3])
Test Case Results:
{'testCases': [{'actualOutput': 'None', 'passed': False, 'userPrints': '', 'testCase': {'input': ['Star A: 1.0, 0.0, 0.0, 0.0', 'Star B: 1.0, 0.0, 2.0, 0.0', 'Star C: 1.0, 2.0, 1.0, 0.0'], 'expectedOutput': 2, 'description': ''}}, {'actualOutput': 'None', 'passed': False, 'userPrints': '', 'testCase': {'input': ['Alpha: 3.5, 1.0, -1.0, 2.0', 'Beta: 4.2, 2.0, -1.5, 2.5', 'Gamma: 5.1, -1.0, 2.0, -2.0', 'Delta: 2.8, -1.2, 2.3, -2.1', 'Epsilon: 6.3, 3.0, -2.0, 3.0'], 'expectedOutput': 0.374, 'description': ''}}], 'numPassed': 0, 'numFailed': 2, 'stderr': ''}
</t>
  </si>
  <si>
    <t>{
    "thought": "The solution is incomplete as it collects coordinates but doesn't calculate distances or return anything. The immediate next step is to calculate the Euclidean distance between star pairs being compared.",
    "is_complete": false,
    "is_correct": false,
    "errors_or_next_steps": "Missing distance calculation and return statement",
    "hint": "You've collected the coordinates, now use them to calculate the distance between the stars using the given formula. Don't forget to return the smallest distance!"
}</t>
  </si>
  <si>
    <t>2.855020046234131</t>
  </si>
  <si>
    <t>The hint aligns with the expected hint by instructing to calculate the distance using collected coordinates, matching the core intention of computing distance between two coordinates.</t>
  </si>
  <si>
    <t>It suggests both computing the distance and returning the smallest distance, which counts as multiple steps.</t>
  </si>
  <si>
    <t>No explicit Python code or code snippets are included in the hint.</t>
  </si>
  <si>
    <t>Good job so far. Next, you need to compute distance between the two coordinates</t>
  </si>
  <si>
    <t>{
    "thought": "The solution is incomplete as it's missing the computation of distances and return statement. The code correctly extracts coordinates but doesn't calculate Euclidean distance or compare distances to find minimum.",
    "is_complete": false,
    "is_correct": false,
    "errors_or_next_steps": "Missing distance calculation and return statement",
    "hint": "After getting both star coordinates, try calculating the distance between them using the given formula. What's the square root of the sum of squared differences?"
}</t>
  </si>
  <si>
    <t>2.719167947769165</t>
  </si>
  <si>
    <t>The hint aligns with the expected instruction to compute the distance between the coordinates.</t>
  </si>
  <si>
    <t>The hint focuses on a single action: calculating the distance. It does not explicitly suggest more than one step.</t>
  </si>
  <si>
    <t>No Python code or code snippets are provided; it's a conceptual instruction rather than a direct code example.</t>
  </si>
  <si>
    <t>{
    "thought": "The solution is incomplete as it doesn't calculate the distance between stars or return a value. It only extracts coordinates. The next immediate step would be to calculate the distance using the Euclidean formula.",
    "is_complete": false,
    "is_correct": false,
    "errors_or_next_steps": "Missing distance calculation and return statement",
    "hint": "Now that you have the coordinates, try calculating the distance between points using the given formula. Don't forget to store and return the smallest value!"
}</t>
  </si>
  <si>
    <t>Both the provided hint and the expected hint focus on computing the distance between coordinates, so they share the same core intention.</t>
  </si>
  <si>
    <t>The hint suggests two actions: calculating the distance and also tracking the smallest distance, which are distinct steps.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</si>
  <si>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from math import sqrt
def solution(data):
    closest_distance = 27
    for item in data:
        dims = item.split(":")[1].split(',')
        x_curr = float(dims[1])
        y_curr = float(dims[2])
        z_curr = float(dims[3])
        for other_item in data:
            if item == other_item:
                continue
            dims_other = other_item.split(":")[1].split(',')
            x_other = float(dims_other[1])
            y_other = float(dims_other[2])
            z_other = float(dims_other[3])
Test Case Results:
{'testCases': [{'actualOutput': 'None', 'passed': False, 'userPrints': '', 'testCase': {'input': ['Star A: 1.0, 0.0, 0.0, 0.0', 'Star B: 1.0, 0.0, 2.0, 0.0', 'Star C: 1.0, 2.0, 1.0, 0.0'], 'expectedOutput': 2, 'description': ''}}, {'actualOutput': 'None', 'passed': False, 'userPrints': '', 'testCase': {'input': ['Alpha: 3.5, 1.0, -1.0, 2.0', 'Beta: 4.2, 2.0, -1.5, 2.5', 'Gamma: 5.1, -1.0, 2.0, -2.0', 'Delta: 2.8, -1.2, 2.3, -2.1', 'Epsilon: 6.3, 3.0, -2.0, 3.0'], 'expectedOutput': 0.374, 'description': ''}}], 'numPassed': 0, 'numFailed': 2, 'stderr': ''}
</t>
  </si>
  <si>
    <t>{
    "thought": "The solution appears incomplete. The code parses coordinates correctly but doesn't calculate distances or return a final result. Need to guide student to implement distance calculation and return value.",
    "is_complete": false,
    "is_correct": false,
    "errors_or_next_steps": "Missing distance calculation and return statement",
    "hint_first_draft": "You've extracted the coordinates, now calculate the distance between points using the given formula and update closest_distance if you find a smaller one.",
    "reflection": "The hint should be more conversational and avoid technical terms while focusing on the immediate next step without giving away the solution.",
    "hint": "Great start with finding the coordinates! Now, use those values to find how far apart each pair of stars is, keeping track of the shortest distance you find."
}</t>
  </si>
  <si>
    <t>4.360503196716309</t>
  </si>
  <si>
    <t>The hint instructs finding and using the coordinates to compute the distance, which aligns with the expected hint of computing the distance between two coordinates.</t>
  </si>
  <si>
    <t>The hint suggests calculating the distance and also keeping track of the shortest distance, thereby indicating more than one action.</t>
  </si>
  <si>
    <t>No Python code or snippets are provided; it is purely an instructional statement.</t>
  </si>
  <si>
    <t>{
    "thought": "Looking at the solution, I can see it's incomplete. The student has correctly set up the loops and parsed the coordinates, but hasn't implemented the distance calculation or return statement. They need to add the Euclidean distance formula and return the smallest distance.",
    "is_complete": false,
    "is_correct": false,
    "errors_or_next_steps": "Missing distance calculation and return statement",
    "hint_first_draft": "You've got the coordinates parsed nicely! Now, try calculating the distance between two points using those x, y, z values and update the closest_distance if you find a smaller one.",
    "reflection": "The hint should focus on the immediate next step without giving away the formula. It should encourage them to use their parsed coordinates productively.",
    "hint": "Now that you have your coordinates, calculate how far apart the stars are from each other and keep track of the shortest distance you find."
}</t>
  </si>
  <si>
    <t>4.4418323040008545</t>
  </si>
  <si>
    <t>The hint aligns with the expected hint, instructing to compute the distance and track the shortest value.</t>
  </si>
  <si>
    <t>It essentially details a single next step (compute and track in one process) that can be done in under three lines of code.</t>
  </si>
  <si>
    <t>{
    "thought": "The solution appears incomplete as it's missing the distance calculation and return statement. The nested loop structure is correct for comparing pairs, but stops short of completing the task.",
    "is_complete": false,
    "is_correct": false,
    "errors_or_next_steps": "Missing distance calculation and return statement",
    "hint_first_draft": "You've got the coordinates extracted, now calculate the distance between points using the given formula and update closest_distance if you find a smaller one.",
    "reflection": "The hint should guide them to implement the distance calculation without giving away the exact formula. It's better to reference their existing closest_distance variable to make it more relatable.",
    "hint": "You're on track! Now use those coordinates to find distances between star pairs. When you find a distance smaller than closest_distance, update it, then return your answer."
}</t>
  </si>
  <si>
    <t>4.8110761642456055</t>
  </si>
  <si>
    <t>Both hints convey the same core step: computing the distance between coordinates to update the closest distance value.</t>
  </si>
  <si>
    <t>The hint advises more than one action: computing distances, comparing them to closest_distance, updating it, and returning the result.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</si>
  <si>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from math import sqrt
def solution(data):
    closest_distance = 27
    for item in data:
        dims = item.split(":")[1].split(',')
        x_curr = float(dims[1])
        y_curr = float(dims[2])
        z_curr = float(dims[3])
        for other_item in data:
            if item == other_item:
                continue
            dims_other = other_item.split(":")[1].split(',')
            x_other = float(dims_other[1])
            y_other = float(dims_other[2])
            z_other = float(dims_other[3])
Test Case Results:
{'testCases': [{'actualOutput': 'None', 'passed': False, 'userPrints': '', 'testCase': {'input': ['Star A: 1.0, 0.0, 0.0, 0.0', 'Star B: 1.0, 0.0, 2.0, 0.0', 'Star C: 1.0, 2.0, 1.0, 0.0'], 'expectedOutput': 2, 'description': ''}}, {'actualOutput': 'None', 'passed': False, 'userPrints': '', 'testCase': {'input': ['Alpha: 3.5, 1.0, -1.0, 2.0', 'Beta: 4.2, 2.0, -1.5, 2.5', 'Gamma: 5.1, -1.0, 2.0, -2.0', 'Delta: 2.8, -1.2, 2.3, -2.1', 'Epsilon: 6.3, 3.0, -2.0, 3.0'], 'expectedOutput': 0.374, 'description': ''}}], 'numPassed': 0, 'numFailed': 2, 'stderr': ''}
</t>
  </si>
  <si>
    <t>{
    "thought_on_correctness": "Solution is incorrect as all test cases are failing and returning None",
    "thought_on_completeness": "Solution is incomplete as it's missing the distance calculation and return statement",
    "thought_on_next_steps": "Need to calculate the Euclidean distance between points and update closest_distance",
    "thought_on_errors": "Code doesn't complete the distance calculation or return any value",
    "hint_first_draft": "After getting coordinates for both stars, calculate how far apart they are using the distance formula, and keep track of the smallest distance you find.",
    "reflection": "Hint focuses on immediate next step without giving away specific code, maintains conversational tone, and doesn't exceed word limit",
    "hint": "You've got the coordinates of both stars, now find out how far apart they are! Remember to keep track of the shortest distance you discover."
}</t>
  </si>
  <si>
    <t>4.680727958679199</t>
  </si>
  <si>
    <t>The hint aligns with the expected next action of calculating the distance between the two coordinates and relates directly to keeping track of the shortest distance found.</t>
  </si>
  <si>
    <t>It explicitly mentions two actions: calculating the distance and maintaining the shortest distance, thus suggesting more than a single step.</t>
  </si>
  <si>
    <t>{
    "thought_on_correctness": "Solution is incorrect as all test cases failed.",
    "thought_on_completeness": "Solution is incomplete. Code starts correctly by extracting coordinates but doesn't complete the distance calculation or return a value.",
    "thought_on_next_steps": "Need to calculate the Euclidean distance between the extracted coordinates and return the smallest value.",
    "thought_on_errors": "No syntax errors, but logic is incomplete. Missing the distance calculation and return statement.",
    "hint_first_draft": "You've extracted the coordinates nicely! Now, use those coordinates to calculate the distance between the stars using the given formula.",
    "reflection": "Hint should be more specific about the immediate next step without giving away the formula explicitly.",
    "hint": "You've got the coordinates of both stars in your nested loop - now try calculating how far apart they are and keep track of the shortest distance!"
}</t>
  </si>
  <si>
    <t>5.512984752655029</t>
  </si>
  <si>
    <t>The hint aligns with the expected hint, which is to compute the distance between the coordinates and keep track of the minimum.</t>
  </si>
  <si>
    <t>It instructs to both calculate the distance and track the shortest value, which are two steps.</t>
  </si>
  <si>
    <t>{
    "thought_on_correctness": "Solution is incorrect based on test case results showing 'None' output and all tests failing",
    "thought_on_completeness": "Solution is incomplete - missing calculation and return statement",
    "thought_on_next_steps": "Need to calculate the distance between stars using extracted coordinates and return the minimum distance",
    "thought_on_errors": "Code extracts coordinates but doesn't compute distances or find minimum",
    "hint_first_draft": "After getting the coordinates of both stars, try using them to calculate the distance between them. Remember the distance formula!",
    "reflection": "Hint focuses on immediate next step without giving away code, maintains conversational tone, and guides toward distance calculation",
    "hint": "Now that you have the coordinates, think about how you'd measure the distance between two points in 3D space - just like measuring with a ruler!"
}</t>
  </si>
  <si>
    <t>4.692225933074951</t>
  </si>
  <si>
    <t>The hint aligns with the expected hint to calculate the distance between two points in 3D space.</t>
  </si>
  <si>
    <t>It suggests only one next step: measuring the distance between two points in 3D.</t>
  </si>
  <si>
    <t>{
  "thought_on_correctness": "The solution is incorrect based on the test case results.",
  "thought_on_completeness": "The solution is incomplete.",
  "thought_on_next_steps": "The likely next step is to calculate distances and return the smallest one correctly.",
  "thought_on_errors": "The solution is missing the distance calculation and return statement.",
  "hint_first_draft": "Make sure to calculate the distances between pairs and keep track of the smallest one.",
  "reflection": "I focused on whether the solution met the requirements and provided a straightforward next step since it's incomplete.",
  "hint": "Make sure to calculate the distances between pairs and keep track of the smallest one."
}</t>
  </si>
  <si>
    <t>4.519479036331177</t>
  </si>
  <si>
    <t>The hint aligns with the expected idea of computing distances between pairs of points to find the smallest one.</t>
  </si>
  <si>
    <t>The hint implicitly gives two actions: calculate pairwise distances and keep track of the minimum.</t>
  </si>
  <si>
    <t>The hint does not provide any specific Python code or code snippets.</t>
  </si>
  <si>
    <t>{
  "thought_on_correctness": "is solution correct based on the test case results",
  "thought_on_completeness": "is solution complete",
  "thought_on_next_steps": "if solution is incomplete, what is the likely next step",
  "thought_on_errors": "find any errors in the solution",
  "hint_first_draft": "You need to calculate the distances between the pairs and find the minimum from those calculations.",
  "reflection": "The solution is incomplete as the distance calculation is missing, and it doesn't return any output. Focus on implementing the distance calculation logic.",
  "hint": "You need to calculate the distances between the pairs and find the minimum from those calculations."
}</t>
  </si>
  <si>
    <t>2.3561532497406006</t>
  </si>
  <si>
    <t>The hint aligns with the expected hint: both emphasize calculating distances between the coordinates.</t>
  </si>
  <si>
    <t>It suggests two distinct steps: compute all pairwise distances and then find the minimum.</t>
  </si>
  <si>
    <t>{
  "thought_on_correctness": "is solution correct based on the test case results",
  "thought_on_completeness": "is solution complete",
  "thought_on_next_steps": "if solution is incomplete, what is the likely next step",
  "thought_on_errors": "find any errors in the solution",
  "hint_first_draft": "You forgot to calculate the distance and update the closest distance variable.",
  "reflection": "The solution is incorrect as it fails to compute and return any distance, and it's missing the crucial distance calculation logic. It‚Äôs incomplete as the output is 'None'. Immediate next step is to implement the distance calculation.",
  "hint": "Make sure to actually compute and track the distances between each pair of stars!"
}</t>
  </si>
  <si>
    <t>2.657649278640747</t>
  </si>
  <si>
    <t>Both the given hint and the expected hint focus on computing the distance between coordinates.</t>
  </si>
  <si>
    <t>The hint only suggests a single next step (computing and tracking distances).</t>
  </si>
  <si>
    <t>```json
{
  "thought": "The student's solution is incorrect based on the test case results, as no test case passed. The solution is incomplete, as it lacks computation and return of the smallest distance. The immediate next step is to implement the calculation of the Euclidean distance.",
  "is_complete": false,
  "is_correct": false,
  "errors_or_next_steps": "Implement and calculate the Euclidean distance between pairs.",
  "hint": "Focus on computing the distance between every pair of coordinates."
}
```</t>
  </si>
  <si>
    <t>1.6553101539611816</t>
  </si>
  <si>
    <t>The hint only suggests one action: computing the distance.</t>
  </si>
  <si>
    <t>```json
{
  "thought": "The solution has not produced any output and has failed all test cases. It seems incomplete as the calculation of distances and comparison for the smallest distance are missing.",
  "is_complete": false,
  "is_correct": false,
  "errors_or_next_steps": "Solution ends prematurely without calculating distances.",
  "hint": "Try calculating the distance for each pair of stars and use a small value to track the minimum found."
}
```</t>
  </si>
  <si>
    <t>1.701948881149292</t>
  </si>
  <si>
    <t>The hint aligns with the expected hint of computing the distance between coordinates.</t>
  </si>
  <si>
    <t>It suggests two distinct actions: computing the distance between each pair and tracking the minimum distance found.</t>
  </si>
  <si>
    <t>No actual Python code or snippets are included; it‚Äôs merely a verbal suggestion.</t>
  </si>
  <si>
    <t>```json
{
  "thought": "The test cases reveal the solution is incorrect as both tests failed. The solution is also incomplete since the student hasn't calculated or compared distances yet, nor returned any values. The immediate next step is to calculate the distance between each pair of coordinates.",
  "is_complete": false,
  "is_correct": false,
  "errors_or_next_steps": "The solution currently does not calculate any distances.",
  "hint": "Try implementing the distance calculation between pairs of coordinates first."
}
```</t>
  </si>
  <si>
    <t>1.6516821384429932</t>
  </si>
  <si>
    <t>The hint aligns with the intention of the expected hint since it focuses on computing the distance between coordinates.</t>
  </si>
  <si>
    <t>It only suggests one next step: implementing the distance calculation.</t>
  </si>
  <si>
    <t>No specific Python code or code snippet is provided in the hint.</t>
  </si>
  <si>
    <t>```json
{
  "thought": "The solution is incorrect because the test cases did not pass. The solution is incomplete since it doesn't return a computed value yet. The next immediate step would be to compute and check distances between pairs of points.",
  "is_complete": false,
  "is_correct": false,
  "errors_or_next_steps": "Calculate and compare distances for all pairs of stars.",
  "hint_first_draft": "Ensure you compute the distance between every pair of stars to find the smallest one.",
  "reflection": "I focused on identifying the incomplete computation process, which is why the test cases failed. The hint suggests the next action of completing distance calculations.",
  "hint": "Ensure you compute the distance between every pair of stars to find the smallest one."
}
```</t>
  </si>
  <si>
    <t>2.7613837718963623</t>
  </si>
  <si>
    <t>Both the given hint and the expected hint focus on computing the distance between coordinates, so they match in intention.</t>
  </si>
  <si>
    <t>The hint essentially offers a single step: compute the distance for every pair to find the smallest distance.</t>
  </si>
  <si>
    <t>```json
{
  "thought": "The solution is incorrect because test cases returned 'None' instead of the expected distances. The current implementation doesn't compute distances or return the smallest one. The solution is incomplete as it lacks the distance calculation and the mechanism to track and return the smallest distance.",
  "is_complete": false,
  "is_correct": false,
  "errors_or_next_steps": "Complete the part of the code that calculates distances between pairs of stars and updates the closest distance found.",
  "hint_first_draft": "You need to calculate distances between star pairs and update the closest distance.",
  "reflection": "The hint focuses on what is missing without being overly specific, guiding the student towards the distance computation and tracking logic.",
  "hint": "You need to calculate distances between star pairs and update the closest distance."
}
```</t>
  </si>
  <si>
    <t>2.620750904083252</t>
  </si>
  <si>
    <t>The hint aligns with the expected hint, both instructing to compute the distance and update the 'closest_distance'.</t>
  </si>
  <si>
    <t>The hint suggests two actions: calculating distances for star pairs and updating the closest distance.</t>
  </si>
  <si>
    <t>```json
{
  "thought": "The solution is incorrect as none of the test cases passed. The solution seems incomplete as it currently doesn't calculate or return any value. I need to focus on the next step in the implementation.",
  "is_complete": false,
  "is_correct": false,
  "errors_or_next_steps": "Finalize the calculation of Euclidean distances and update the closest.",
  "hint_first_draft": "Complete the logic to calculate distances and update the closest distance.",
  "reflection": "The student hasn't implemented the distance calculation and return statement. My hint should guide them to complete these logical steps.",
  "hint": "Finalize the calculation of Euclidean distances and update the closest."
}
```</t>
  </si>
  <si>
    <t>2.4552860260009766</t>
  </si>
  <si>
    <t>The provided hint and the expected hint both guide the user to calculate the distance and handle it (i.e., they share the same intention).</t>
  </si>
  <si>
    <t>The hint advises both completing the distance calculation and updating the closest value, which can be treated as two distinct actions.</t>
  </si>
  <si>
    <t>```json
{
  "thought_on_correctness": "The solution is incorrect based on the test case results as all cases failed.",
  "thought_on_completeness": "The solution is incomplete because the distance calculation and final output return are missing.",
  "thought_on_next_steps": "The likely next step is to complete the calculation of the Euclidean distance for each pair and store the smallest value.",
  "thought_on_errors": "The code does not compute distances or return any result.",
  "hint_first_draft": "You need to compute and compare distances between star systems, making sure to return the smallest found distance.",
  "reflection": "The hint focuses on adding the necessary logic for distance calculation and output, which is absent in the current solution.",
  "hint": "You need to compute and compare distances between star systems, making sure to return the smallest found distance."
}
```</t>
  </si>
  <si>
    <t>2.558866024017334</t>
  </si>
  <si>
    <t>Both hints focus on calculating the distance and emphasize finding the smallest distance, matching the core intention of the expected hint.</t>
  </si>
  <si>
    <t>The hint suggests at least two actions: computing distances and then finding the smallest among them, which are multiple steps.</t>
  </si>
  <si>
    <t>The hint does not provide specific Python code or snippets, only a conceptual direction.</t>
  </si>
  <si>
    <t>```json
{
  "thought_on_correctness": "The solution is incorrect as both test cases did not pass.",
  "thought_on_completeness": "The solution appears incomplete as it does not return any result.",
  "thought_on_next_steps": "A likely next step is to compute the Euclidean distance between pairs and track the smallest.",
  "thought_on_errors": "The function currently does not compute or return any distances.",
  "hint_first_draft": "Make sure to compute the Euclidean distance between star pairs and update the smallest distance found.",
  "reflection": "Considering the solution is incomplete, the main focus is on directing the student to implement the distance calculation and return a result. The hint should prompt them towards completing the missing functionality.",
  "hint": "Make sure to compute the Euclidean distance between star pairs and update the smallest distance found."
}
```</t>
  </si>
  <si>
    <t>2.472421169281006</t>
  </si>
  <si>
    <t>The hint aligns with the expected direction of computing distances between coordinates.</t>
  </si>
  <si>
    <t>It mentions computing the Euclidean distance and then updating the minimum distance‚Äîtwo distinct actions.</t>
  </si>
  <si>
    <t>There is no explicit code snippet or Python-specific detail included.</t>
  </si>
  <si>
    <t>```json
{
  "thought_on_correctness": "is solution correct based on the test case results",
  "thought_on_completeness": "is solution complete",
  "thought_on_next_steps": "if solution is incomplete, what is the likely next step",
  "thought_on_errors": "find any errors in the solution",
  "hint_first_draft": "You need to complete the calculation part by finding the Euclidean distance between pairs and compare it with the closest_distance.",
  "reflection": "The student's solution is incomplete, as it doesn't perform the required distance calculations. The immediate next step is to focus on implementing the distance calculation correctly.",
  "hint": "You need to complete the calculation part by finding the Euclidean distance between pairs and compare it with the closest_distance."
}
```</t>
  </si>
  <si>
    <t>2.763352155685425</t>
  </si>
  <si>
    <t>The hint matches the expected intention to compute the distance.</t>
  </si>
  <si>
    <t>It describes essentially one action (calculate and compare), which is under three lines of code.</t>
  </si>
  <si>
    <t>The hint does not include any Python code or code snippet.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</si>
  <si>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from math import sqrt
def solution(data):
    closest_distance = 27
    for item in data:
        dims = item.split(":")[1].split(',')
        x_curr = float(dims[1])
        y_curr = float(dims[2])
        z_curr = float(dims[3])
        for other_item in data:
            if item == other_item:
                continue
            dims_other = other_item.split(":")[1].split(',')
            x_other = float(dims_other[1])
            y_other = float(dims_other[2])
            z_other = float(dims_other[3])
Test Case Results:
{'testCases': [{'actualOutput': 'None', 'passed': False, 'userPrints': '', 'testCase': {'input': ['Star A: 1.0, 0.0, 0.0, 0.0', 'Star B: 1.0, 0.0, 2.0, 0.0', 'Star C: 1.0, 2.0, 1.0, 0.0'], 'expectedOutput': 2, 'description': ''}}, {'actualOutput': 'None', 'passed': False, 'userPrints': '', 'testCase': {'input': ['Alpha: 3.5, 1.0, -1.0, 2.0', 'Beta: 4.2, 2.0, -1.5, 2.5', 'Gamma: 5.1, -1.0, 2.0, -2.0', 'Delta: 2.8, -1.2, 2.3, -2.1', 'Epsilon: 6.3, 3.0, -2.0, 3.0'], 'expectedOutput': 0.374, 'description': ''}}], 'numPassed': 0, 'numFailed': 2, 'stderr': ''}
</t>
  </si>
  <si>
    <t>{"hint": "It looks like you haven't computed the distance between pairs or returned a value. Try adding the distance calculation between each pair and then updating &amp; returning the smallest distance rounded to three decimals."}</t>
  </si>
  <si>
    <t>4.594482898712158</t>
  </si>
  <si>
    <t>The hint aligns with the expected hint of computing the distance between two coordinates (and adds detail on returning the smallest distance).</t>
  </si>
  <si>
    <t>It suggests two actions: computing the distance and then updating/returning the smallest distance.</t>
  </si>
  <si>
    <t>{
  "hint": "Your code never calculates or returns the computed distance. Try computing the distance for each star pair and update the minimal distance, then return it."
}</t>
  </si>
  <si>
    <t>The given hint aligns well with the expected hint, as both emphasize computing the distance and handling the result.</t>
  </si>
  <si>
    <t>The hint suggests multiple actions: computing distance, updating the minimal distance, and returning it.</t>
  </si>
  <si>
    <t>{
  "hint": "It looks like you haven't computed the pair distances yet. Focus on calculating the distance for each unique pair and updating your smallest distance."
}</t>
  </si>
  <si>
    <t>3.593045949935913</t>
  </si>
  <si>
    <t>Both the given and expected hint align in directing the user to compute distances between coordinate pairs.</t>
  </si>
  <si>
    <t>The hint suggests two actions: computing distances for each pair and updating the smallest distance.</t>
  </si>
  <si>
    <t>The hint does not include specific code or function calls.</t>
  </si>
  <si>
    <t>questions/closest_starsystems/1_logical.py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</si>
  <si>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 = []
    for star_data in data:
        parts = star_data.split(': ')[1].strip().split(',')
        stars.append([float(parts[0]), float(parts[1]), float(parts[2])])
    min_distance = float('inf')
    for i in range(len(stars)):
        for j in range(i + 1, len(stars)):
            distance = ((stars[i][0] - stars[j][0])**2 +
                        (stars[i][1] - stars[j][1])**2 +
                        (stars[i][2] - stars[j][2])**2)**0.5
            min_distance = min(min_distance, distance)
    return round(min_distance, 3)
Test Case Results:
{'testCases': [{'actualOutput': 'inf', 'passed': False, 'userPrints': '', 'testCase': {'input': ['Star A: 1.0, 0.0, 0.0, 0.0', 'Star B: 1.0, 0.0, 2.0, 0.0', 'Star C: 1.0, 2.0, 1.0, 0.0'], 'expectedOutput': 2, 'description': ''}}, {'actualOutput': 'inf', 'passed': False, 'userPrints': '', 'testCase': {'input': ['Alpha: 3.5, 1.0, -1.0, 2.0', 'Beta: 4.2, 2.0, -1.5, 2.5', 'Gamma: 5.1, -1.0, 2.0, -2.0', 'Delta: 2.8, -1.2, 2.3, -2.1', 'Epsilon: 6.3, 3.0, -2.0, 3.0'], 'expectedOutput': 0.374, 'description': ''}}], 'numPassed': 0, 'numFailed': 2, 'stderr': ''}
</t>
  </si>
  <si>
    <t>{
    "thought": "The solution is complete but incorrect. The main issue is that the code ignores the first number in each star's data (the distance value), which is causing incorrect array indexing. The parsed coordinates should start from index 1, not 0.",
    "is_complete": true,
    "is_correct": false,
    "errors_or_next_steps": "Incorrect array indexing when parsing coordinates",
    "hint": "Look carefully at the star data format. You're using the distance value as an x-coordinate. Try skipping the first number when extracting coordinates."
}</t>
  </si>
  <si>
    <t>3.3762760162353516</t>
  </si>
  <si>
    <t>The hint accurately addresses the issue of mixing up the distance value and the x-coordinate, which matches the expected hint's intention.</t>
  </si>
  <si>
    <t>It suggests only one clear action: skipping the first number when extracting coordinates.</t>
  </si>
  <si>
    <t>The hint does not provide any Python code snippet or direct code references.</t>
  </si>
  <si>
    <t>You are incorrectly extracting the x,y,z coordinates from input data</t>
  </si>
  <si>
    <t>{
    "thought": "The solution is complete but incorrect. The code ignores the last coordinate (z) when parsing star data. Each star data array should have 4 values, but the code only takes first 3 from split.",
    "is_complete": true,
    "is_correct": false,
    "errors_or_next_steps": "Missing last coordinate in parsing step",
    "hint": "When splitting each star's data, you're grabbing one coordinate too few. Check how many numbers you're storing for each star system."
}</t>
  </si>
  <si>
    <t>3.379930257797241</t>
  </si>
  <si>
    <t>The hint accurately points out that the code is missing one of the coordinates when parsing star data, matching the expected hint's intention.</t>
  </si>
  <si>
    <t>It suggests a single fix (checking the number of coordinates extracted) rather than multiple steps or actions.</t>
  </si>
  <si>
    <t>{
    "thought": "Looking at the test results, all cases return 'inf'. The code structure is complete but there's a logical error in coordinate parsing. The student is skipping the star's distance and not using the correct coordinates.",
    "is_complete": true,
    "is_correct": false,
    "errors_or_next_steps": "Incorrect parsing of coordinates - skipping the distance value in input string",
    "hint": "When splitting the coordinates, remember that the first number is the star's distance. Try skipping it and use the next three numbers for your calculations."
}</t>
  </si>
  <si>
    <t>3.4982030391693115</t>
  </si>
  <si>
    <t>The hint clearly matches the intention of indicating that the first extracted number is not x, y, or z, which aligns with the expected hint of incorrect coordinate extraction.</t>
  </si>
  <si>
    <t>It only suggests one action: skipping the first number to correctly identify x, y, z; it does not propose multiple next steps.</t>
  </si>
  <si>
    <t>No specific Python code snippets or examples are provided in the hint, only a descriptive reminder.</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</si>
  <si>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 = []
    for star_data in data:
        parts = star_data.split(': ')[1].strip().split(',')
        stars.append([float(parts[0]), float(parts[1]), float(parts[2])])
    min_distance = float('inf')
    for i in range(len(stars)):
        for j in range(i + 1, len(stars)):
            distance = ((stars[i][0] - stars[j][0])**2 +
                        (stars[i][1] - stars[j][1])**2 +
                        (stars[i][2] - stars[j][2])**2)**0.5
            min_distance = min(min_distance, distance)
    return round(min_distance, 3)
Test Case Results:
{'testCases': [{'actualOutput': 'inf', 'passed': False, 'userPrints': '', 'testCase': {'input': ['Star A: 1.0, 0.0, 0.0, 0.0', 'Star B: 1.0, 0.0, 2.0, 0.0', 'Star C: 1.0, 2.0, 1.0, 0.0'], 'expectedOutput': 2, 'description': ''}}, {'actualOutput': 'inf', 'passed': False, 'userPrints': '', 'testCase': {'input': ['Alpha: 3.5, 1.0, -1.0, 2.0', 'Beta: 4.2, 2.0, -1.5, 2.5', 'Gamma: 5.1, -1.0, 2.0, -2.0', 'Delta: 2.8, -1.2, 2.3, -2.1', 'Epsilon: 6.3, 3.0, -2.0, 3.0'], 'expectedOutput': 0.374, 'description': ''}}], 'numPassed': 0, 'numFailed': 2, 'stderr': ''}
</t>
  </si>
  <si>
    <t>{
    "thought": "The solution is complete but incorrect. The main issue is that the code is not properly parsing the input string - it's ignoring the last coordinate (z) because it's not adjusting for the fact that the first number is distance, not a coordinate.",
    "is_complete": true,
    "is_correct": false,
    "errors_or_next_steps": "Code is taking first three numbers as coordinates, but first number is actually distance. Need to skip first number and take next three as coordinates.",
    "hint_first_draft": "Look carefully at the input format. The first number after the colon isn't a coordinate - it's the distance! Try adjusting which numbers you're using for the calculations.",
    "reflection": "The hint should be more specific about the data structure but not give away the exact solution. Let's focus on the input parsing issue.",
    "hint": "Check your coordinate parsing - you're using the distance value as x-coordinate! Skip the first number and use the next three values for your calculations."
}</t>
  </si>
  <si>
    <t>5.1181769371032715</t>
  </si>
  <si>
    <t>The hint correctly addresses the incorrect extraction of x, y, z coordinates by noting that the distance value is mistakenly used as x, which aligns with the expected hint.</t>
  </si>
  <si>
    <t>It suggests only a single adjustment: ignore the first number and use the next three for the coordinates.</t>
  </si>
  <si>
    <t>The hint does not provide specific Python code or snippets.</t>
  </si>
  <si>
    <t>{
    "thought": "The solution is complete but incorrect. The main error is in parsing the input data - the code only takes the first three parts after splitting, ignoring the z-coordinate which is the fourth number in the input string.",
    "is_complete": true,
    "is_correct": false,
    "errors_or_next_steps": "Missing z-coordinate in parsing step",
    "hint_first_draft": "Look carefully at the input format - you're missing one of the coordinates when splitting the data. How many numbers should you be extracting for each star?",
    "reflection": "The hint needs to be more specific about the coordinates without explicitly mentioning programming terms. Should focus on the 3D space concept.",
    "hint": "Remember that to locate a point in 3D space, you need all three spatial coordinates. You're currently only using some of the numbers from each star's data."
}</t>
  </si>
  <si>
    <t>The hint correctly matches the intention that the code is not handling x,y,z extraction properly.</t>
  </si>
  <si>
    <t>It suggests only one primary action: include all three coordinates.</t>
  </si>
  <si>
    <t>No Python code or snippets are given in the hint.</t>
  </si>
  <si>
    <t>{
    "thought": "The solution is complete but incorrect. The main issue is with parsing the input data. The student is ignoring the last coordinate (z) in the input string by only taking the first three numbers from parts.",
    "is_complete": true,
    "is_correct": false,
    "errors_or_next_steps": "Not extracting all coordinates correctly from input string",
    "hint_first_draft": "Look carefully at how you're extracting the coordinates. Are you capturing all four numbers from each star's data?",
    "reflection": "The hint needs to be more specific about the coordinates but without giving away the solution directly. Should focus on the parsing part and the number of values being extracted.",
    "hint": "Each star has four numbers in its data, but you're only using three of them. Check if you're getting all the coordinates correctly!"
}</t>
  </si>
  <si>
    <t>4.601135969161987</t>
  </si>
  <si>
    <t>The hint aligns with the expected intention (incomplete coordinate extraction).</t>
  </si>
  <si>
    <t>It only suggests one action: verify the coordinate extraction.</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</si>
  <si>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 = []
    for star_data in data:
        parts = star_data.split(': ')[1].strip().split(',')
        stars.append([float(parts[0]), float(parts[1]), float(parts[2])])
    min_distance = float('inf')
    for i in range(len(stars)):
        for j in range(i + 1, len(stars)):
            distance = ((stars[i][0] - stars[j][0])**2 +
                        (stars[i][1] - stars[j][1])**2 +
                        (stars[i][2] - stars[j][2])**2)**0.5
            min_distance = min(min_distance, distance)
    return round(min_distance, 3)
Test Case Results:
{'testCases': [{'actualOutput': 'inf', 'passed': False, 'userPrints': '', 'testCase': {'input': ['Star A: 1.0, 0.0, 0.0, 0.0', 'Star B: 1.0, 0.0, 2.0, 0.0', 'Star C: 1.0, 2.0, 1.0, 0.0'], 'expectedOutput': 2, 'description': ''}}, {'actualOutput': 'inf', 'passed': False, 'userPrints': '', 'testCase': {'input': ['Alpha: 3.5, 1.0, -1.0, 2.0', 'Beta: 4.2, 2.0, -1.5, 2.5', 'Gamma: 5.1, -1.0, 2.0, -2.0', 'Delta: 2.8, -1.2, 2.3, -2.1', 'Epsilon: 6.3, 3.0, -2.0, 3.0'], 'expectedOutput': 0.374, 'description': ''}}], 'numPassed': 0, 'numFailed': 2, 'stderr': ''}
</t>
  </si>
  <si>
    <t>{
    "thought_on_correctness": "Solution is incorrect as it fails all test cases, returning 'inf' instead of expected values",
    "thought_on_completeness": "Solution is complete but has a logical error",
    "thought_on_next_steps": "N/A as solution is complete",
    "thought_on_errors": "The solution is not parsing the input correctly. It's only taking first three values from the split, ignoring the z-coordinate",
    "hint_first_draft": "Look carefully at how you're extracting the coordinates. Are you collecting all four values after splitting the string?",
    "reflection": "Hint focuses on the core issue without explicitly giving away the solution. It's conversational and directs attention to the parsing logic",
    "hint": "Hey! Looks like you might be missing a coordinate when reading the star data. Double-check how many numbers you're collecting for each star!"
}</t>
  </si>
  <si>
    <t>4.744568109512329</t>
  </si>
  <si>
    <t>The hint aligns with the expected hint: both point out an issue with the coordinate extraction process.</t>
  </si>
  <si>
    <t>It suggests only one primary action: verifying the number of coordinates being collected.</t>
  </si>
  <si>
    <t>{
    "thought_on_correctness": "Solution is incorrect as both test cases failed, returning 'inf' instead of expected values",
    "thought_on_completeness": "Solution is complete but has a logical error",
    "thought_on_next_steps": "N/A - solution is complete but needs fixing",
    "thought_on_errors": "Solution is only using first three values from split, but the coordinates start from index 1, not 0",
    "hint_first_draft": "Look carefully at the format of the input string. The first number after the split is the distance, but you're using it as a coordinate. The x,y,z coordinates start after that.",
    "reflection": "Hint focuses on the specific parsing error without giving away the solution, encouraging the student to look at the data structure",
    "hint": "When you split the string, remember that the first number isn't a coordinate - it's the distance! Take another look at which elements you're using."
}</t>
  </si>
  <si>
    <t>5.039076805114746</t>
  </si>
  <si>
    <t>The hint correctly addresses the issue of wrongly extracting coordinates when the first value is actually a distance, matching the expected hint‚Äôs intention.</t>
  </si>
  <si>
    <t>It only suggests one action: reviewing which elements are used after splitting. It does not provide multiple steps or a detailed plan.</t>
  </si>
  <si>
    <t>{
    "thought_on_correctness": "Solution is incorrect as both test cases failed, returning 'inf' instead of expected values",
    "thought_on_completeness": "Solution is complete but has a logical error",
    "thought_on_next_steps": "N/A - Solution is complete but needs fixing",
    "thought_on_errors": "The parsing of coordinates is incorrect. The solution is ignoring the last coordinate (z) from input string",
    "hint_first_draft": "Look carefully at how you're extracting coordinates. Are you capturing all three spatial coordinates from the input string?",
    "reflection": "Hint focuses on the immediate issue without giving away the solution, prompting student to examine coordinate parsing",
    "hint": "You're missing one of the spatial coordinates when parsing the star data. Check your array indexing during the split operation."
}</t>
  </si>
  <si>
    <t>5.291250944137573</t>
  </si>
  <si>
    <t>Both hints address the same issue of incorrectly parsing x, y, z from the data.</t>
  </si>
  <si>
    <t>It only suggests a single fix‚Äîchecking the indexing, rather than multiple distinct steps.</t>
  </si>
  <si>
    <t>No specific Python code or code snippet is present in the hint.</t>
  </si>
  <si>
    <t>{
  "thought_on_correctness": "is solution correct based on the test case results",
  "thought_on_completeness": "is solution complete",
  "thought_on_next_steps": "if solution is incomplete, what is the likely next step",
  "thought_on_errors": "find any errors in the solution",
  "hint_first_draft": "Check if the coordinates are correctly parsed. The distance formula might produce infinity if all points coincide.",
  "reflection": "The solution is incorrect based on failed test cases. It is complete in structure but has a logical error in distance calculation regarding identical coordinates.",
  "hint": "Consider how your coordinates are extracted and ensure they don't lead to the same point being compared."
}</t>
  </si>
  <si>
    <t>5.677640914916992</t>
  </si>
  <si>
    <t>It points to re-checking how the coordinates are parsed, which aligns with the issue of incorrect coordinate extraction.</t>
  </si>
  <si>
    <t>It suggests two actions: re-examining the extraction process and ensuring distinct points for comparison.</t>
  </si>
  <si>
    <t>It does not include any Python code snippet.</t>
  </si>
  <si>
    <t>{
  "thought_on_correctness": "is solution incorrect based on the test case results",
  "thought_on_completeness": "is solution complete",
  "thought_on_next_steps": "you need to validate the input format to ensure you're parsing it correctly",
  "thought_on_errors": "there's an issue with how you're extracting the coordinates; check the string parsing.",
  "hint_first_draft": "Ensure you're parsing the string correctly to get the right coordinates. It looks like there's an issue with how you're handling the input.",
  "reflection": "Based on the test cases failing due to distance being infinite, it's clear the parsing of coordinates has a problem. Therefore, the hint focuses on correcting that parsing.",
  "hint": "Check how you're splitting the string to ensure you get the coordinates correctly; there may be an error in the format handling."
}</t>
  </si>
  <si>
    <t>3.0966649055480957</t>
  </si>
  <si>
    <t>Both hints address an issue with extracting the x, y, and z coordinates from the input string, so the intention is aligned.</t>
  </si>
  <si>
    <t>It only suggests a single action (checking the splitting logic) rather than multiple distinct next steps.</t>
  </si>
  <si>
    <t>No specific code or Python snippets are included in the hint.</t>
  </si>
  <si>
    <t>{
  "thought_on_correctness": "is solution correct based on the test case results",
  "thought_on_completeness": "is solution complete",
  "thought_on_next_steps": "if solution is incomplete, what is the likely next step",
  "thought_on_errors": "find any errors in the solution",
  "hint_first_draft": "Your distance calculations might yield 'inf' if two stars have the same coordinates. Ensure that the input parsing correctly handles the format.",
  "reflection": "The solution is incorrect based on test case results. It is complete but has a logical issue where it might cause infinite distance due to identical star coordinates. The hint aims to guide the student in checking the parsing step to resolve the issue.",
  "hint": "Check how you're parsing the input to ensure you're extracting the coordinates correctly."
}</t>
  </si>
  <si>
    <t>5.046424150466919</t>
  </si>
  <si>
    <t>Both the provided and the expected hint advise examining the parsing of the input to ensure the coordinates are retrieved correctly.</t>
  </si>
  <si>
    <t>The hint suggests only one action: verify the parsing of the coordinates. No additional steps are mentioned.</t>
  </si>
  <si>
    <t>```json
{
  "thought": "The solution is incorrect because the test cases did not pass, both returning 'inf' instead of the expected values. The solution is complete as it attempts all necessary calculations. The issue appears in parsing the coordinates or accessing the correct indices.",
  "is_complete": true,
  "is_correct": false,
  "errors_or_next_steps": "Parsing error or wrong indices in data extraction.",
  "hint": "Check that you're extracting the correct indices for the x, y, z coordinates from the input strings."
}
```</t>
  </si>
  <si>
    <t>2.252289056777954</t>
  </si>
  <si>
    <t>The given hint about verifying the indices for x, y, z coordinates aligns with the expected hint that the coordinates may be extracted incorrectly, indicating the same intent.</t>
  </si>
  <si>
    <t>It directs the user to check the indexing, which is only one step and doesn't offer multiple actions.</t>
  </si>
  <si>
    <t>```json
{
  "thought": "The test case results indicate that the solution is incorrect. The solution is complete but contains an error in parsing - it neglects the distance field, taking incorrect coordinates.",
  "is_complete": true,
  "is_correct": false,
  "errors_or_next_steps": "Error in parsing the correct coordinates from the input string.",
  "hint": "Ensure you're extracting the correct coordinates by skipping the distance before slicing the data."
}
```</t>
  </si>
  <si>
    <t>1.8130590915679932</t>
  </si>
  <si>
    <t>Both the provided and expected hints address correcting how x, y, and z coordinates are extracted from input data.</t>
  </si>
  <si>
    <t>It suggests only one action: skip the distance before slicing the data.</t>
  </si>
  <si>
    <t>No specific Python code or snippets are shown in the hint.</t>
  </si>
  <si>
    <t>```json
{
  "thought": "The solution is incorrect as test cases failed. It's complete since it attempts full functionality. The error is in parsing strings. The first split isn't correctly handling the number for distance. This causes coordinate parsing to fail.",
  "is_complete": true,
  "is_correct": false,
  "errors_or_next_steps": "Syntax issues in string parsing lead to incorrect coordinate extraction.",
  "hint": "Check how you're splitting the input string to ensure you're capturing the correct numbers."
}
```</t>
  </si>
  <si>
    <t>1.6676018238067627</t>
  </si>
  <si>
    <t>The hint aligns with the idea that the code is incorrectly extracting the x,y,z coordinates from the input data.</t>
  </si>
  <si>
    <t>The hint only suggests one next step: checking how the input string is split.</t>
  </si>
  <si>
    <t>```json
{
  "thought": "The solution is incorrect based on the test case results as it returns 'inf'. This indicates an issue in parsing coordinates. The solution is complete, yet there's a logical error while extracting 3D coordinates from the string.",
  "is_complete": true,
  "is_correct": false,
  "errors_or_next_steps": "Logical error in extracting x, y, z coordinates; incorrect index used.",
  "hint_first_draft": "Check how you parse x, y, z from the input strings. Ensure you're extracting the correct indices.",
  "reflection": "The student's issue arises while extracting coordinates, causing incorrect distance calculations. The hint directs attention to verifying the parsing segment, which likely affects entire logic.",
  "hint": "Check how you parse x, y, z from the input strings. Ensure you're extracting the correct indices."
}
```</t>
  </si>
  <si>
    <t>2.4788782596588135</t>
  </si>
  <si>
    <t>The hint aligns with the purpose of checking the extraction of x, y, z coordinates from the input, matching the expected hint's intention.</t>
  </si>
  <si>
    <t>It only suggests verifying how x, y, z are parsed, which is a single step rather than multiple actions.</t>
  </si>
  <si>
    <t>The hint does not include any specific Python code or code snippets.</t>
  </si>
  <si>
    <t>```json
{
  "thought": "The solution is incorrect as none of the test cases passed, and the output is 'inf'. It seems the solution errors in parsing coordinates correctly, ignoring one entry per star. The issue is the extraction of x, y, z, where the first item is mistakenly taken from parts.",
  "is_complete": true,
  "is_correct": false,
  "errors_or_next_steps": "The error lies in coordinate extraction. The first number after splitting is the distance, not x.",
  "hint_first_draft": "Check the extraction logic for coordinates; ensure you're using the correct indexes after splitting the string.",
  "reflection": "The hint correctly identifies that the parsing logic incorrectly extracted coordinates. Providing this hint helps the student focus on fixing coordinate extraction without giving away the solution.",
  "hint": "Check the extraction logic for coordinates; ensure you're using the correct indexes after splitting the string."
}
```</t>
  </si>
  <si>
    <t>2.700778007507324</t>
  </si>
  <si>
    <t>The hint accurately addresses the same issue of incorrect coordinate extraction as the expected hint.</t>
  </si>
  <si>
    <t>The hint only provides a single action: verify that the correct indexes are being used for x, y, z.</t>
  </si>
  <si>
    <t>No specific Python code snippets or detailed examples are included in the hint.</t>
  </si>
  <si>
    <t>```json
{
  "thought": "The test cases show the solution is incorrect because the output is 'inf'. Checking the parsing logic indicates that the distance is mislabeled as x, and the coordinates are incorrectly indexed. The solution seems complete but has logical indexing errors.",
  "is_complete": true,
  "is_correct": false,
  "errors_or_next_steps": "The coordinates extraction logic is flawed; ensure correct indexing for x, y, z.",
  "hint_first_draft": "Check the indexing when extracting coordinates from each string; ensure distance is not mistaken for a coordinate.",
  "reflection": "The hint focuses on correcting the data extraction logic without being explicit or solving the problem. It encourages the student to re-evaluate the coordinate parsing section of their code.",
  "hint": "Check the indexing when extracting coordinates from each string; ensure distance is not mistaken for a coordinate."
}
```</t>
  </si>
  <si>
    <t>4.001229763031006</t>
  </si>
  <si>
    <t>Both the provided hint and the expected hint focus on mis-extraction of coordinates (x,y,z) from the input data.</t>
  </si>
  <si>
    <t>It only gives one main action: verify the correct indexing for x,y,z coordinates.</t>
  </si>
  <si>
    <t>No Python code snippets or detailed steps are included.</t>
  </si>
  <si>
    <t>```json
{
  "thought_on_correctness": "The solution is incorrect based on the test case results because it returns 'inf' instead of the expected distances.",
  "thought_on_completeness": "The solution is complete as it attempts to perform all required tasks.",
  "thought_on_next_steps": "N/A",
  "thought_on_errors": "There's a logical error in how 3D coordinates are extracted; the actual distance value was not used as coordinates.",
  "hint_first_draft": "Make sure to parse and use the coordinates (x, y, z) correctly, ignoring the distance value prefixed.",
  "reflection": "I determined that the solution is incomplete because although it attempts all steps, it parses incorrectly, affecting logic. The hint addresses the parsing mistake to correct the logic.",
  "hint": "Ensure to correctly extract and use the 3D coordinates (x, y, z) by bypassing the prefixed distance value in each string."
}
```</t>
  </si>
  <si>
    <t>3.101116895675659</t>
  </si>
  <si>
    <t>The hint accurately reflects that x, y, and z are being extracted incorrectly, matching the intention of the expected hint.</t>
  </si>
  <si>
    <t>It suggests a single adjustment (bypassing the distance value) rather than multiple next steps.</t>
  </si>
  <si>
    <t>It does not include Python code or code snippets, only a general directive.</t>
  </si>
  <si>
    <t>```json
{
  "thought_on_correctness": "The solution is incorrect based on the test case results. It returns 'inf' instead of the expected distances.",
  "thought_on_completeness": "The solution is complete in terms of structure, but has a logical error with parsing the input strings.",
  "thought_on_next_steps": "The solution is already structurally complete, so the next step is fixing the logic in parsing the input.",
  "thought_on_errors": "The parsing logic is incorrect; it doesn't extract the correct coordinate values due to a misunderstanding in which part of the string to split.",
  "hint_first_draft": "Check how you're parsing the coordinates. Ensure you're extracting the correct parts of the string for the coordinates, ignoring the distance field.",
  "reflection": "The solution covers the structural requirements but falters at parsing the input. This causes logical errors in distance computation. The hint focuses on correcting this, guiding the student to reconsider the parsing approach.",
  "hint": "Check how you're parsing the coordinates. Ensure you're extracting the correct parts of the string for the coordinates, ignoring the distance field."
}
```</t>
  </si>
  <si>
    <t>3.2332441806793213</t>
  </si>
  <si>
    <t>It addresses the same issue of incorrectly extracting x, y, z coordinates from the input string, matching the intended hint.</t>
  </si>
  <si>
    <t>It suggests only one main action: to adjust the parsing of coordinates and ignore the distance field.</t>
  </si>
  <si>
    <t>It provides no Python code or snippets, only a general instruction.</t>
  </si>
  <si>
    <t>```json
{
  "thought_on_correctness": "The solution is incorrect based on the test case results.",
  "thought_on_completeness": "The solution is complete with logical errors.",
  "thought_on_next_steps": "N/A",
  "thought_on_errors": "The student didn't extract the correct index for coordinates, resulting in incorrect values for x, y, and z.",
  "hint_first_draft": "Ensure you are using the correct indices when extracting the 3D coordinates from the split parts.",
  "reflection": "The solution is complete but contains a logical error in indexing, which needs correction to fix the solution.",
  "hint": "Ensure you are using the correct indices when extracting the 3D coordinates from the split parts."
}
```</t>
  </si>
  <si>
    <t>The provided hint aligns with the expected hint of ensuring correct indices for the x, y, z coordinates.</t>
  </si>
  <si>
    <t>The hint only suggests a single step: verifying correct index usage.</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</si>
  <si>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 = []
    for star_data in data:
        parts = star_data.split(': ')[1].strip().split(',')
        stars.append([float(parts[0]), float(parts[1]), float(parts[2])])
    min_distance = float('inf')
    for i in range(len(stars)):
        for j in range(i + 1, len(stars)):
            distance = ((stars[i][0] - stars[j][0])**2 +
                        (stars[i][1] - stars[j][1])**2 +
                        (stars[i][2] - stars[j][2])**2)**0.5
            min_distance = min(min_distance, distance)
    return round(min_distance, 3)
Test Case Results:
{'testCases': [{'actualOutput': 'inf', 'passed': False, 'userPrints': '', 'testCase': {'input': ['Star A: 1.0, 0.0, 0.0, 0.0', 'Star B: 1.0, 0.0, 2.0, 0.0', 'Star C: 1.0, 2.0, 1.0, 0.0'], 'expectedOutput': 2, 'description': ''}}, {'actualOutput': 'inf', 'passed': False, 'userPrints': '', 'testCase': {'input': ['Alpha: 3.5, 1.0, -1.0, 2.0', 'Beta: 4.2, 2.0, -1.5, 2.5', 'Gamma: 5.1, -1.0, 2.0, -2.0', 'Delta: 2.8, -1.2, 2.3, -2.1', 'Epsilon: 6.3, 3.0, -2.0, 3.0'], 'expectedOutput': 0.374, 'description': ''}}], 'numPassed': 0, 'numFailed': 2, 'stderr': ''}
</t>
  </si>
  <si>
    <t>{"hint": "Your extraction is off; you need to skip the first number to correctly grab the x, y, and z values, so the computed distances update properly."}</t>
  </si>
  <si>
    <t>31.119239807128906</t>
  </si>
  <si>
    <t>This hint matches the intended guidance about skipping the first number to extract the correct coordinates.</t>
  </si>
  <si>
    <t>It suggests only a single adjustment (skipping the first number).</t>
  </si>
  <si>
    <t>It provides no specific Python code or snippets.</t>
  </si>
  <si>
    <t>{"hint": "Review how you extract the coordinates. It seems you're including the initial number (distance) as part of the spatial values. Adjust your indexing to correctly get x, y, and z."}</t>
  </si>
  <si>
    <t>53.419341802597046</t>
  </si>
  <si>
    <t>The hint explicitly addresses the same issue as the expected hint‚Äîincorrectly extracting coordinates.</t>
  </si>
  <si>
    <t>It only suggests a single action step: adjusting the indexing.</t>
  </si>
  <si>
    <t>{"hint": "There‚Äôs an indexing mistake when picking the coordinate values. Try using the correct positions for x, y, and z instead of the first three numbers."}</t>
  </si>
  <si>
    <t>36.83250284194946</t>
  </si>
  <si>
    <t>Both the actual and expected hints point out that the x, y, and z coordinates are being extracted incorrectly, indicating an indexing issue.</t>
  </si>
  <si>
    <t>The hint suggests a single fix (changing the indices) rather than multiple actions or steps.</t>
  </si>
  <si>
    <t>No specific code snippets or line-level Python details are provided in the hint.</t>
  </si>
  <si>
    <t>questions/closest_starsystems/2_logical.py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</si>
  <si>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stars_dict = {}
    for star_entry in data:
        star_name, coords_str = star_entry.split('| ')
        dist, x_str, y_str, z_str = coords_str.strip().split(',')
        stars_dict[star_name] = [float(x_str), float(y_str), float(z_str)]
    star_names = list(stars_dict.keys())
    min_distance = float('inf')
    i = 0
    while i &lt; len(star_names) - 1:
        j = i + 1
        while j &lt; len(star_names):
            x1, y1, z1 = stars_dict[star_names[i]]
            x2, y2, z2 = stars_dict[star_names[j]]
            distance = ((x1 - x2)**2 + (y1 - y2)**2 + (z1 - z2)**2)**0.5
            if distance &lt; min_distance:
                min_distance = distance
            j += 1
        i += 1
    return round(min_distance, 3)
Test Case Results:
{'testCases': [{'actualOutput': '', 'passed': False, 'error': 'not enough values to unpack (expected 2, got 1)', 'testCase': {'input': ['Star A: 1.0, 0.0, 0.0, 0.0', 'Star B: 1.0, 0.0, 2.0, 0.0', 'Star C: 1.0, 2.0, 1.0, 0.0'], 'expectedOutput': 2, 'description': ''}}, {'actualOutput': '', 'passed': False, 'error': 'not enough values to unpack (expected 2, got 1)', 'testCase': {'input': ['Alpha: 3.5, 1.0, -1.0, 2.0', 'Beta: 4.2, 2.0, -1.5, 2.5', 'Gamma: 5.1, -1.0, 2.0, -2.0', 'Delta: 2.8, -1.2, 2.3, -2.1', 'Epsilon: 6.3, 3.0, -2.0, 3.0'], 'expectedOutput': 0.374, 'description': ''}}], 'numPassed': 0, 'numFailed': 2, 'stderr': ''}
</t>
  </si>
  <si>
    <t>{
    "thought": "The solution is complete but has a syntax error in parsing the input string. The student is using '|' as delimiter but the input format uses ':'. This causes the split operation to fail.",
    "is_complete": true,
    "is_correct": false,
    "errors_or_next_steps": "Input string parsing error using wrong delimiter",
    "hint": "Check how the star data is formatted in the input. The name and coordinates are separated by a different symbol than what you're using."
}</t>
  </si>
  <si>
    <t>4.2213099002838135</t>
  </si>
  <si>
    <t>The hint informs the user that they are using the wrong delimiter, which matches the expected hint‚Äôs intention.</t>
  </si>
  <si>
    <t>It only suggests one single action: to check the delimiter being used.</t>
  </si>
  <si>
    <t>No actual Python code or snippets are provided in this hint.</t>
  </si>
  <si>
    <t>You are splitting the input data with the wrong delimiter</t>
  </si>
  <si>
    <t>{
    "thought": "The student's solution has a syntax error in parsing the input string. They're using '| ' as delimiter but the input format uses ': ' to separate star name and coordinates. This causes the split operation to fail.",
    "is_complete": true,
    "is_correct": false,
    "errors_or_next_steps": "Incorrect string splitting pattern in parsing star coordinates",
    "hint": "Check how the star data is formatted in the input. The separator between the star name and its coordinates isn't quite right!"
}</t>
  </si>
  <si>
    <t>3.1967780590057373</t>
  </si>
  <si>
    <t>The hint directly addresses the mismatch in delimiters, which aligns with the expected hint about splitting input data with the wrong delimiter.</t>
  </si>
  <si>
    <t>It only points out that the delimiter is incorrect and needs to be checked; it does not suggest multiple distinct steps or actions.</t>
  </si>
  <si>
    <t>There is no specific Python code or snippet in the hint; it only describes the issue in general terms.</t>
  </si>
  <si>
    <t>{
    "thought": "Looking at the error message and code, I see the student is trying to split using '|' but the input format uses ':'. This is a syntax error in parsing the input string that needs to be fixed first.",
    "is_complete": true,
    "is_correct": false,
    "errors_or_next_steps": "Input string parsing error using wrong delimiter",
    "hint": "Check your string splitting carefully. The format shows stars are separated from their coordinates with a different symbol than what you're using."
}</t>
  </si>
  <si>
    <t>3.5848610401153564</t>
  </si>
  <si>
    <t>The hint accurately points out that the delimiter used in splitting is incorrect, matching the intention of the expected hint.</t>
  </si>
  <si>
    <t>The hint only suggests a single action (fix the string splitting) rather than multiple next steps.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</si>
  <si>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stars_dict = {}
    for star_entry in data:
        star_name, coords_str = star_entry.split('| ')
        dist, x_str, y_str, z_str = coords_str.strip().split(',')
        stars_dict[star_name] = [float(x_str), float(y_str), float(z_str)]
    star_names = list(stars_dict.keys())
    min_distance = float('inf')
    i = 0
    while i &lt; len(star_names) - 1:
        j = i + 1
        while j &lt; len(star_names):
            x1, y1, z1 = stars_dict[star_names[i]]
            x2, y2, z2 = stars_dict[star_names[j]]
            distance = ((x1 - x2)**2 + (y1 - y2)**2 + (z1 - z2)**2)**0.5
            if distance &lt; min_distance:
                min_distance = distance
            j += 1
        i += 1
    return round(min_distance, 3)
Test Case Results:
{'testCases': [{'actualOutput': '', 'passed': False, 'error': 'not enough values to unpack (expected 2, got 1)', 'testCase': {'input': ['Star A: 1.0, 0.0, 0.0, 0.0', 'Star B: 1.0, 0.0, 2.0, 0.0', 'Star C: 1.0, 2.0, 1.0, 0.0'], 'expectedOutput': 2, 'description': ''}}, {'actualOutput': '', 'passed': False, 'error': 'not enough values to unpack (expected 2, got 1)', 'testCase': {'input': ['Alpha: 3.5, 1.0, -1.0, 2.0', 'Beta: 4.2, 2.0, -1.5, 2.5', 'Gamma: 5.1, -1.0, 2.0, -2.0', 'Delta: 2.8, -1.2, 2.3, -2.1', 'Epsilon: 6.3, 3.0, -2.0, 3.0'], 'expectedOutput': 0.374, 'description': ''}}], 'numPassed': 0, 'numFailed': 2, 'stderr': ''}
</t>
  </si>
  <si>
    <t>{
    "thought": "The solution is incomplete and has a syntax error. The main issue is in parsing the input string. The code tries to split with '|' but the input format uses ':'. This is causing the 'not enough values to unpack' error.",
    "is_complete": true,
    "is_correct": false,
    "errors_or_next_steps": "String splitting error in parsing star data. Using wrong delimiter.",
    "hint_first_draft": "Check how you're splitting the star data string. The separator between star name and coordinates isn't what you think it is!",
    "reflection": "The hint should be clear enough to point out the splitting issue without directly mentioning the correct delimiter. The conversational tone makes it more engaging.",
    "hint": "Hmm... look carefully at how the star information is formatted. The separator between the star's name and its coordinates isn't quite what you're looking for!"
}</t>
  </si>
  <si>
    <t>4.978914976119995</t>
  </si>
  <si>
    <t>The hint conveys the same intention that the delimiter being used in the split is incorrect, matching the expected hint's meaning.</t>
  </si>
  <si>
    <t>It only suggests revisiting the delimiter in the split operation, which is a single next step.</t>
  </si>
  <si>
    <t>It does not contain any specific Python code or snippets.</t>
  </si>
  <si>
    <t>{
    "thought": "The student's solution has a syntax error in parsing the input strings. They're using '|' as a delimiter but the actual format uses ':'. This is causing the string split to fail with 'not enough values to unpack'.",
    "is_complete": true,
    "is_correct": false,
    "errors_or_next_steps": "Incorrect string splitting delimiter used in parsing",
    "hint_first_draft": "Look carefully at how the star data is formatted. You're trying to split using the wrong symbol!",
    "reflection": "The hint should point out the parsing issue without explicitly stating the correct delimiter. The student should examine the input format more carefully.",
    "hint": "Check the format of your star data again. What symbol separates the star name from its coordinates?"
}</t>
  </si>
  <si>
    <t>4.533643007278442</t>
  </si>
  <si>
    <t>The hint correctly points to the same issue: the delimiter used for splitting might be wrong.</t>
  </si>
  <si>
    <t>It only suggests a single next step: verifying the format, specifically the delimiter.</t>
  </si>
  <si>
    <t>{
    "thought": "Looking at the error message and the solution, there's a clear syntax error in how the student is splitting the star data. They're using '|' as a delimiter but the input format uses ':' instead.",
    "is_complete": true,
    "is_correct": false,
    "errors_or_next_steps": "Incorrect string splitting delimiter used in parsing the star data",
    "hint_first_draft": "Check how you're splitting each star's information. The format uses a different symbol to separate the star's name from its coordinates.",
    "reflection": "The hint should focus on the immediate syntax error while staying conversational and not giving away the exact solution. The delimiter issue is the primary blocking error.",
    "hint": "Look carefully at how each star's information is formatted in the input. You're trying to split with the wrong symbol!"
}</t>
  </si>
  <si>
    <t>5.530152082443237</t>
  </si>
  <si>
    <t>The hint directly addresses that the delimiter used in splitting is incorrect, matching the expected hint's intention.</t>
  </si>
  <si>
    <t>The hint implies a single change: using the correct delimiter in the split operation.</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</si>
  <si>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stars_dict = {}
    for star_entry in data:
        star_name, coords_str = star_entry.split('| ')
        dist, x_str, y_str, z_str = coords_str.strip().split(',')
        stars_dict[star_name] = [float(x_str), float(y_str), float(z_str)]
    star_names = list(stars_dict.keys())
    min_distance = float('inf')
    i = 0
    while i &lt; len(star_names) - 1:
        j = i + 1
        while j &lt; len(star_names):
            x1, y1, z1 = stars_dict[star_names[i]]
            x2, y2, z2 = stars_dict[star_names[j]]
            distance = ((x1 - x2)**2 + (y1 - y2)**2 + (z1 - z2)**2)**0.5
            if distance &lt; min_distance:
                min_distance = distance
            j += 1
        i += 1
    return round(min_distance, 3)
Test Case Results:
{'testCases': [{'actualOutput': '', 'passed': False, 'error': 'not enough values to unpack (expected 2, got 1)', 'testCase': {'input': ['Star A: 1.0, 0.0, 0.0, 0.0', 'Star B: 1.0, 0.0, 2.0, 0.0', 'Star C: 1.0, 2.0, 1.0, 0.0'], 'expectedOutput': 2, 'description': ''}}, {'actualOutput': '', 'passed': False, 'error': 'not enough values to unpack (expected 2, got 1)', 'testCase': {'input': ['Alpha: 3.5, 1.0, -1.0, 2.0', 'Beta: 4.2, 2.0, -1.5, 2.5', 'Gamma: 5.1, -1.0, 2.0, -2.0', 'Delta: 2.8, -1.2, 2.3, -2.1', 'Epsilon: 6.3, 3.0, -2.0, 3.0'], 'expectedOutput': 0.374, 'description': ''}}], 'numPassed': 0, 'numFailed': 2, 'stderr': ''}
</t>
  </si>
  <si>
    <t>{
    "thought_on_correctness": "Solution is incorrect based on test case results showing errors",
    "thought_on_completeness": "Solution is complete but contains errors",
    "thought_on_next_steps": "Not applicable as solution is complete",
    "thought_on_errors": "The string splitting logic is incorrect. Code uses '| ' as separator but input format uses ': '",
    "hint_first_draft": "Check how you're splitting the star data string. The name and coordinates are separated differently than what you're expecting.",
    "reflection": "Hint focuses on immediate syntax error without giving away the exact solution, maintains conversational tone, and is concise",
    "hint": "Look closely at how each star's information is formatted in the input. The separator between the name and coordinates isn't quite what you're using."
}</t>
  </si>
  <si>
    <t>4.605404853820801</t>
  </si>
  <si>
    <t>The hint warns about using the wrong delimiter, which matches the expected intention.</t>
  </si>
  <si>
    <t>It points out a single issue (the delimiter), suggesting one main next step.</t>
  </si>
  <si>
    <t>{
    "thought_on_correctness": "Solution is incorrect based on test case results showing errors",
    "thought_on_completeness": "Solution is complete but contains error in parsing logic",
    "thought_on_next_steps": "Not applicable as solution is complete",
    "thought_on_errors": "String splitting uses '|' but input format uses ':' as separator",
    "hint_first_draft": "Check how you're splitting the star data string. The separator between star name and coordinates isn't what you think it is!",
    "reflection": "Hint is concise, conversational, avoids explicit code references, and focuses on the immediate parsing error",
    "hint": "Hey! Take another look at how the star information is formatted. The symbol separating the name from the numbers isn't quite right!"
}</t>
  </si>
  <si>
    <t>4.300518989562988</t>
  </si>
  <si>
    <t>The hint correctly points out the incorrect delimiter, matching the intended hint about splitting the input data incorrectly.</t>
  </si>
  <si>
    <t>The hint only suggests a single step ‚Äì revisiting the delimiter ‚Äì rather than multiple actions.</t>
  </si>
  <si>
    <t>No Python code or explicit code snippets are included in the hint.</t>
  </si>
  <si>
    <t>{
    "thought_on_correctness": "Solution is incorrect based on test case results showing failures",
    "thought_on_completeness": "Solution is complete but contains errors",
    "thought_on_next_steps": "N/A as solution is complete",
    "thought_on_errors": "The string splitting logic is incorrect. Code uses '|' as separator but input format uses ':'",
    "hint_first_draft": "Check how you're splitting the star information. The separator between star name and coordinates isn't what you think it is!",
    "reflection": "Hint focuses on immediate syntax error, avoiding specific method names, and guides student to discover the correct separator",
    "hint": "Look carefully at how the star information is formatted in the example. Are you using the right symbol to separate the name from the coordinates?"
}</t>
  </si>
  <si>
    <t>4.738732099533081</t>
  </si>
  <si>
    <t>The hint matches the intention of pointing out an incorrect delimiter usage in the split operation.</t>
  </si>
  <si>
    <t>It only suggests revisiting the delimiter choice, which is a single next step.</t>
  </si>
  <si>
    <t>No direct Python code or snippets are provided in the hint.</t>
  </si>
  <si>
    <t>```json
{
  "thought_on_correctness": "is solution correct based on the test case results",
  "thought_on_completeness": "is solution complete",
  "thought_on_next_steps": "if solution is incomplete, what is the likely next step",
  "thought_on_errors": "find any errors in the solution",
  "hint_first_draft": "The error arises from the way you're splitting the star entry; make sure to use the correct separator.",
  "reflection": "The solution failed due to an error when unpacking values. I focused on the unpacking error as the main issue.",
  "hint": "Fix the string split by using the correct separator to extract star properties."
}
```</t>
  </si>
  <si>
    <t>2.4602460861206055</t>
  </si>
  <si>
    <t>The hint and the expected hint both address the incorrect string splitting delimiter, so they match in intention.</t>
  </si>
  <si>
    <t>It suggests only one action: fix the string splitting with the correct separator.</t>
  </si>
  <si>
    <t>{
  "thought_on_correctness": "is solution correct based on the test case results",
  "thought_on_completeness": "is solution complete",
  "thought_on_next_steps": "if solution is incomplete, what is the likely next step",
  "thought_on_errors": "find any errors in the solution",
  "hint_first_draft": "Check how you're splitting the star entry string; it's causing unpacking issues.",
  "reflection": "The solution is incorrect based on test results due to unpacking issues. It's incomplete as it doesn't handle errors correctly. The immediate next step is to fix the string splitting logic to ensure correct values are extracted.",
  "hint": "Check how you're splitting the star entry string; it's causing unpacking issues."
}</t>
  </si>
  <si>
    <t>2.459312915802002</t>
  </si>
  <si>
    <t>Both hints point out issues with how the string is being split, matching the intended message about using the wrong delimiter.</t>
  </si>
  <si>
    <t>The hint only suggests one action: to check the splitting method.</t>
  </si>
  <si>
    <t>No Python code or code snippets are included in the hint.</t>
  </si>
  <si>
    <t>{
  "thought_on_correctness": "is solution correct based on the test case results",
  "thought_on_completeness": "is solution complete",
  "thought_on_next_steps": "if solution is incomplete, what is the likely next step",
  "thought_on_errors": "find any errors in the solution",
  "hint_first_draft": "Your splitting logic needs adjustment; ensure you're using the correct delimiter for parsing star data.",
  "reflection": "The solution is incorrect due to a syntax error when splitting star data. This results in unpacking errors during execution. The hint provided directs the student to focus on fixing this issue.",
  "hint": "Check the delimiter used to split star data; it should match the format provided."
}</t>
  </si>
  <si>
    <t>2.9693808555603027</t>
  </si>
  <si>
    <t>The hint aligns well with the expected hint by pointing out an issue with the delimiter used when splitting the data.</t>
  </si>
  <si>
    <t>It provides only one next step: to check the delimiter used in the split operation.</t>
  </si>
  <si>
    <t>```json
{
  "thought": "The solution is incorrect as evidenced by the test case failures. The error message suggests a problem with parsing the input strings. The solution is complete in logic but has a syntax issue during string splitting.",
  "is_complete": true,
  "is_correct": false,
  "errors_or_next_steps": "The student incorrectly uses 'split('| '),' which causes unpacking issues.",
  "hint": "Check how you split the string to separate the star name from coordinates."
}
```</t>
  </si>
  <si>
    <t>1.780580997467041</t>
  </si>
  <si>
    <t>The hint aligns with the expected suggestion to verify the delimiter used in splitting.</t>
  </si>
  <si>
    <t>It only points to checking the split logic, which is a single action.</t>
  </si>
  <si>
    <t>No specific code snippet or detailed Python code is provided.</t>
  </si>
  <si>
    <t>```json
{
  "thought": "The solution is incorrect because both test cases fail. The error message indicates an issue with unpacking values from the split operation. The problem likely occurs due to the incorrect delimiter used when splitting the string.",
  "is_complete": true,
  "is_correct": false,
  "errors_or_next_steps": "The delimiter used to split the string is incorrect. Inspect the character separating the star name from the coordinates.",
  "hint": "Check the character used to separate the star name from the coordinates. Ensure it's correct."
}
```</t>
  </si>
  <si>
    <t>2.5577518939971924</t>
  </si>
  <si>
    <t>The hint aligns with the expected hint's intention to verify the delimiter used to split the input data.</t>
  </si>
  <si>
    <t>It suggests only a single action: checking the delimiter.</t>
  </si>
  <si>
    <t>No code snippets or direct Python references are provided.</t>
  </si>
  <si>
    <t>```json
{
  "thought": "The test case results indicate that the solution is incorrect due to a syntax error in the string splitting step. Splitting the star entry string doesn't correctly parse the components.",
  "is_complete": true,
  "is_correct": false,
  "errors_or_next_steps": "Syntax error in splitting the star entry string.",
  "hint": "Check the delimiter used in the string splitting to parse the star's details correctly."
}
```</t>
  </si>
  <si>
    <t>2.047147750854492</t>
  </si>
  <si>
    <t>The given hint‚Äîchecking the delimiter‚Äîdirectly aligns with the expected hint that the input data is split with the wrong delimiter.</t>
  </si>
  <si>
    <t>It only points to one action (reviewing the delimiter) rather than multiple steps.</t>
  </si>
  <si>
    <t>```json
{
  "thought": "The solution is incorrect based on the test case results. The error indicates a problem with unpacking values during splitting. The solution seems functionally complete, but a syntax error related to splitting needs attention.",
  "is_complete": true,
  "is_correct": false,
  "errors_or_next_steps": "Syntax error due to incorrect split delimiter.",
  "hint_first_draft": "Check the character used to separate star name and coordinates in each entry.",
  "reflection": "The hint guides the student to pay attention to the delimiter used in the splitting operation, which addresses the unpacking issue reflected in the error message.",
  "hint": "Check the character used to separate star name and coordinates in each entry."
}
```</t>
  </si>
  <si>
    <t>2.347099781036377</t>
  </si>
  <si>
    <t>The hint points to the exact issue: the wrong delimiter is being used, matching the expected hint‚Äôs intention.</t>
  </si>
  <si>
    <t>It suggests only one action‚Äîchecking the splitting delimiter‚Äîrather than multiple steps.</t>
  </si>
  <si>
    <t>No specific code or code snippets are provided in the hint.</t>
  </si>
  <si>
    <t>```json
{
  "thought": "The test case results indicate syntax errors due to the string splitting method used. The error message suggests using incorrect delimiters for parsing the input strings.",
  "is_complete": true,
  "is_correct": false,
  "errors_or_next_steps": "There is a syntax error due to incorrect string splitting.",
  "hint_first_draft": "Check how you split the input strings, as incorrect delimiters can cause unpacking errors.",
  "reflection": "The task was to assist with syntax errors, emphasizing the importance of parsing input strings correctly. The hint directs attention to the delimiter issue.",
  "hint": "Check how you split the input strings, as incorrect delimiters can cause unpacking errors."
}
```</t>
  </si>
  <si>
    <t>2.2993662357330322</t>
  </si>
  <si>
    <t>Both the provided and expected hints focus on using the correct delimiter when splitting input data.</t>
  </si>
  <si>
    <t>The hint suggests a single adjustment (check/change how the input is split).</t>
  </si>
  <si>
    <t>No specific code snippet or Python call is provided in the hint.</t>
  </si>
  <si>
    <t>```json
{
  "thought": "The solution is incorrect as both test cases failed with the same 'unpacking' error indicating a syntax issue. The solution is complete in structure, but the error needs resolving. The immediate hint should focus on fixing the separator in the split operation.",
  "is_complete": true,
  "is_correct": false,
  "errors_or_next_steps": "Change the separator from '|' to ':' when splitting the star entry.",
  "hint_first_draft": "Check the separator used when splitting each star entry; it should match the expected format from the input.",
  "reflection": "The hint addresses the syntax error that prevents parsing. Ensuring the student understands the mismatch between the format they process and the input format is essential. The hint should lead them directly to the issue without giving away the answer.",
  "hint": "Check the separator used when splitting each star entry; it should match the expected format from the input."
}
```</t>
  </si>
  <si>
    <t>3.6864821910858154</t>
  </si>
  <si>
    <t>The hint accurately conveys the same idea as the expected hint‚Äînamely that the delimiter used for splitting is incorrect.</t>
  </si>
  <si>
    <t>It only suggests a single action: checking the separator.</t>
  </si>
  <si>
    <t>```json
{
  "thought_on_correctness": "The solution is incorrect based on the test case results.",
  "thought_on_completeness": "The solution is incomplete because the parsing of input data fails.",
  "thought_on_next_steps": "The next step is to correct the string splitting logic to parse the input correctly.",
  "thought_on_errors": "There's an error in the way the input string is being split into star name and coordinates.",
  "hint_first_draft": "Check your splitting method for extracting star name and coordinates. Ensure you're correctly parsing the input format.",
  "reflection": "Considering the error message, the student's splitting logic doesn't match the input format with colon and comma. The hint focused on adjusting this logic, which is crucial for proceeding with further calculations.",
  "hint": "Check your splitting method for extracting star name and coordinates. Ensure you're correctly parsing the input format."
}
```</t>
  </si>
  <si>
    <t>3.171389102935791</t>
  </si>
  <si>
    <t>The given hint matches the intention of the expected hint (to check the delimiter used for splitting).</t>
  </si>
  <si>
    <t>It suggests a single step: reviewing the splitting method.</t>
  </si>
  <si>
    <t>The hint does not provide Python code snippets or explicit code details.</t>
  </si>
  <si>
    <t>```json
{
  "thought_on_correctness": "The solution is incorrect based on the test case results.",
  "thought_on_completeness": "The solution is complete but has errors.",
  "thought_on_next_steps": "The solution is not incomplete, so addressing an error is necessary.",
  "thought_on_errors": "There is a syntax error when splitting the input string, causing unpacking issues.",
  "hint_first_draft": "Double-check the way strings are split and unpacked; ensure alignment with expected format.",
  "reflection": "Given the unpacking error highlighted in the test cases, my guidance focuses on fixing how input strings are split, aligning with expected delimiters and formats.",
  "hint": "Double-check the way strings are split and unpacked; ensure alignment with expected format."
}
```</t>
  </si>
  <si>
    <t>The hint accurately points out a delimiter/splitting issue, matching the expected hint's intention.</t>
  </si>
  <si>
    <t>It suggests only one action: checking how the string is split; it does not outline multiple next steps.</t>
  </si>
  <si>
    <t>```json
{
  "thought_on_correctness": "is solution correct based on the test case results",
  "thought_on_completeness": "is solution complete",
  "thought_on_next_steps": "if solution is incomplete, what is the likely next step",
  "thought_on_errors": "find any errors in the solution",
  "hint_first_draft": "Check the way you split each line of input. Ensure you have correctly unpacked elements around the expected delimiter.",
  "reflection": "The test results show that the student's implementation cannot parse input properly due to incorrect splitting, leading to an unpacking error. The hint is focused on correcting the splitting logic, which aligns with the issue observed.",
  "hint": "Check the way you split each line of input. Ensure you have correctly unpacked elements around the expected delimiter."
}
```</t>
  </si>
  <si>
    <t>2.5590572357177734</t>
  </si>
  <si>
    <t>It closely matches the intention, which is to point out the incorrect delimiter usage.</t>
  </si>
  <si>
    <t>It only provides one next step (checking the delimiter) rather than multiple actions.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</si>
  <si>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def solution(data):
    stars_dict = {}
    for star_entry in data:
        star_name, coords_str = star_entry.split('| ')
        dist, x_str, y_str, z_str = coords_str.strip().split(',')
        stars_dict[star_name] = [float(x_str), float(y_str), float(z_str)]
    star_names = list(stars_dict.keys())
    min_distance = float('inf')
    i = 0
    while i &lt; len(star_names) - 1:
        j = i + 1
        while j &lt; len(star_names):
            x1, y1, z1 = stars_dict[star_names[i]]
            x2, y2, z2 = stars_dict[star_names[j]]
            distance = ((x1 - x2)**2 + (y1 - y2)**2 + (z1 - z2)**2)**0.5
            if distance &lt; min_distance:
                min_distance = distance
            j += 1
        i += 1
    return round(min_distance, 3)
Test Case Results:
{'testCases': [{'actualOutput': '', 'passed': False, 'error': 'not enough values to unpack (expected 2, got 1)', 'testCase': {'input': ['Star A: 1.0, 0.0, 0.0, 0.0', 'Star B: 1.0, 0.0, 2.0, 0.0', 'Star C: 1.0, 2.0, 1.0, 0.0'], 'expectedOutput': 2, 'description': ''}}, {'actualOutput': '', 'passed': False, 'error': 'not enough values to unpack (expected 2, got 1)', 'testCase': {'input': ['Alpha: 3.5, 1.0, -1.0, 2.0', 'Beta: 4.2, 2.0, -1.5, 2.5', 'Gamma: 5.1, -1.0, 2.0, -2.0', 'Delta: 2.8, -1.2, 2.3, -2.1', 'Epsilon: 6.3, 3.0, -2.0, 3.0'], 'expectedOutput': 0.374, 'description': ''}}], 'numPassed': 0, 'numFailed': 2, 'stderr': ''}
</t>
  </si>
  <si>
    <t>{"hint": "Almost there! The error arises from the string split; check if your chosen separator matches the input format."}</t>
  </si>
  <si>
    <t>4.838156700134277</t>
  </si>
  <si>
    <t>Both the given hint and the expected hint point out that the delimiter used for splitting is incorrect.</t>
  </si>
  <si>
    <t>It suggests only one next step: verifying the chosen split delimiter.</t>
  </si>
  <si>
    <t>{"hint": "The delimiter used to split the input string is wrong. Try splitting using a colon followed by a space instead of the current separator."}</t>
  </si>
  <si>
    <t>4.402342081069946</t>
  </si>
  <si>
    <t>The hint explicitly addresses that the current delimiter is wrong, matching the intention of the expected hint.</t>
  </si>
  <si>
    <t>The hint only provides a single step (use a colon-space delimiter instead) rather than multiple actions.</t>
  </si>
  <si>
    <t>It does not include specific Python code or snippets demonstrating the new split usage.</t>
  </si>
  <si>
    <t>{
  "hint": "Check your split delimiter; you're using '| ' instead of ':' to parse the star details."
}</t>
  </si>
  <si>
    <t>4.457950115203857</t>
  </si>
  <si>
    <t>The hint directly addresses using the wrong delimiter, which aligns with the expected hint about the incorrect split character.</t>
  </si>
  <si>
    <t>It only suggests a single fix: changing the split delimiter.</t>
  </si>
  <si>
    <t>It references the specific code usage (split('| ') vs split(':')).</t>
  </si>
  <si>
    <t>questions/closest_starsystems/3_logical.py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</si>
  <si>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from math import sqrt
def solution(data):
    closest_distance = 27
    for item in data:
        dims = item.split(":")[1].split(',')
        x_curr = float(dims[1])
        y_curr = float(dims[2])
        z_curr = float(dims[3])
        for other_item in data:
            if item == other_item:
                continue
            dims_other = other_item.split(":")[1].split(',')
            x_other = float(dims_other[1])
            y_other = float(dims_other[2])
            z_other = float(dims_other[3])
            distance = sqrt((x_curr-x_other)**0.5 +
                            (y_curr-y_other)**0.5 + (z_curr-z_other)**0.5)
            if distance &lt; closest_distance:
                closest_distance = distance
    return round(closest_distance, 3)
Test Case Results:
{'testCases': [{'actualOutput': '', 'passed': False, 'error': 'must be real number, not complex', 'testCase': {'input': ['Star A: 1.0, 0.0, 0.0, 0.0', 'Star B: 1.0, 0.0, 2.0, 0.0', 'Star C: 1.0, 2.0, 1.0, 0.0'], 'expectedOutput': 2, 'description': ''}}, {'actualOutput': '', 'passed': False, 'error': 'must be real number, not complex', 'testCase': {'input': ['Alpha: 3.5, 1.0, -1.0, 2.0', 'Beta: 4.2, 2.0, -1.5, 2.5', 'Gamma: 5.1, -1.0, 2.0, -2.0', 'Delta: 2.8, -1.2, 2.3, -2.1', 'Epsilon: 6.3, 3.0, -2.0, 3.0'], 'expectedOutput': 0.374, 'description': ''}}], 'numPassed': 0, 'numFailed': 2, 'stderr': ''}
</t>
  </si>
  <si>
    <t>{
  "thought": "The solution is complete but incorrect. The main error is in the distance calculation formula where the student is using power of 0.5 instead of power of 2, and then taking the square root of the sum. This leads to complex numbers.",
  "is_complete": true,
  "is_correct": false,
  "errors_or_next_steps": "Incorrect distance calculation formula leading to complex numbers",
  "hint": "Check your distance formula carefully. When finding differences between coordinates, you need to square the differences first, not take their square root."
}</t>
  </si>
  <si>
    <t>3.7286171913146973</t>
  </si>
  <si>
    <t>The hint accurately points out the same problem the expected hint addresses, i.e., an error in the distance formula.</t>
  </si>
  <si>
    <t>The hint suggests a single adjustment: squaring the differences before summation, which is just one step.</t>
  </si>
  <si>
    <t>The hint does not include any code snippet; it only provides a conceptual correction.</t>
  </si>
  <si>
    <t>There is an error in your distance formula</t>
  </si>
  <si>
    <t>{
    "thought": "The solution is complete but incorrect. The main error is in the distance calculation formula where the student is using power of 0.5 instead of power of 2, and this is causing complex number errors.",
    "is_complete": true,
    "is_correct": false,
    "errors_or_next_steps": "Incorrect power in distance calculation formula leading to complex number error",
    "hint": "Check your distance formula. When finding differences between coordinates, you need to square the differences before taking the square root of their sum."
}</t>
  </si>
  <si>
    <t>3.0674760341644287</t>
  </si>
  <si>
    <t>The hint directly addresses the error in the distance formula, aligning with the expected hint about the incorrect calculation.</t>
  </si>
  <si>
    <t>It suggests a single action: fixing the distance formula by squaring the differences.</t>
  </si>
  <si>
    <t>The hint does not include any Python code or code snippets; it only references the mathematical correction.</t>
  </si>
  <si>
    <t>{
    "thought": "The solution is complete but incorrect. The main error is in the distance calculation formula where the student is using power of 0.5 instead of power of 2, and then trying to take the square root of potentially negative numbers, causing complex number errors.",
    "is_complete": true,
    "is_correct": false,
    "errors_or_next_steps": "Incorrect power in distance calculation causing complex number errors",
    "hint": "Check your distance formula - when calculating differences between coordinates, you need to square them first before taking the square root of their sum."
}</t>
  </si>
  <si>
    <t>3.481354236602783</t>
  </si>
  <si>
    <t>The hint correctly addresses the error in the distance formula by noting that the differences should be squared first, matching the intention to point out a mistake in the formula.</t>
  </si>
  <si>
    <t>It suggests only one fix ‚Äì correct the exponent usage ‚Äì so it doesn't provide multiple next steps or actions.</t>
  </si>
  <si>
    <t>No explicit Python code or snippet is provided, just a conceptual correction.</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</si>
  <si>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from math import sqrt
def solution(data):
    closest_distance = 27
    for item in data:
        dims = item.split(":")[1].split(',')
        x_curr = float(dims[1])
        y_curr = float(dims[2])
        z_curr = float(dims[3])
        for other_item in data:
            if item == other_item:
                continue
            dims_other = other_item.split(":")[1].split(',')
            x_other = float(dims_other[1])
            y_other = float(dims_other[2])
            z_other = float(dims_other[3])
            distance = sqrt((x_curr-x_other)**0.5 +
                            (y_curr-y_other)**0.5 + (z_curr-z_other)**0.5)
            if distance &lt; closest_distance:
                closest_distance = distance
    return round(closest_distance, 3)
Test Case Results:
{'testCases': [{'actualOutput': '', 'passed': False, 'error': 'must be real number, not complex', 'testCase': {'input': ['Star A: 1.0, 0.0, 0.0, 0.0', 'Star B: 1.0, 0.0, 2.0, 0.0', 'Star C: 1.0, 2.0, 1.0, 0.0'], 'expectedOutput': 2, 'description': ''}}, {'actualOutput': '', 'passed': False, 'error': 'must be real number, not complex', 'testCase': {'input': ['Alpha: 3.5, 1.0, -1.0, 2.0', 'Beta: 4.2, 2.0, -1.5, 2.5', 'Gamma: 5.1, -1.0, 2.0, -2.0', 'Delta: 2.8, -1.2, 2.3, -2.1', 'Epsilon: 6.3, 3.0, -2.0, 3.0'], 'expectedOutput': 0.374, 'description': ''}}], 'numPassed': 0, 'numFailed': 2, 'stderr': ''}
</t>
  </si>
  <si>
    <t>{
    "thought": "Looking at the solution, I notice the student has a complete solution but there's a mathematical error in the distance calculation formula. They're using power of 0.5 instead of power of 2, which causes complex number errors.",
    "is_complete": true,
    "is_correct": false,
    "errors_or_next_steps": "Incorrect power in distance formula causing complex number errors",
    "hint_first_draft": "Check your distance formula. Think about what power you should use when calculating differences between coordinates.",
    "reflection": "The hint should focus on the mathematical error without giving away the exact solution. Making them think about squaring vs square root would be helpful.",
    "hint": "Remember in distance calculations, differences between coordinates should be squared first, not square rooted directly. Double-check your math!"
}</t>
  </si>
  <si>
    <t>4.402140855789185</t>
  </si>
  <si>
    <t>The hint clearly points out the error in the distance formula, matching the expected intention.</t>
  </si>
  <si>
    <t>It focuses on a single correction: squaring the differences before summing and taking the square root.</t>
  </si>
  <si>
    <t>No actual Python code or snippet is included in the hint.</t>
  </si>
  <si>
    <t>{
    "thought": "Looking at the code and error message, the main issue is in the distance calculation formula. The student is using 0.5 power instead of 2 for the squared differences, which leads to complex numbers when differences are negative.",
    "is_complete": true,
    "is_correct": false,
    "errors_or_next_steps": "Incorrect power in distance formula causing complex number errors",
    "hint_first_draft": "Your distance calculation needs squaring of differences, not square root. Check your exponents in the formula.",
    "reflection": "The hint should focus on the mathematical concept rather than the code specifics. Making it more intuitive by referring to the Euclidean distance formula would be better.",
    "hint": "Remember, in the distance formula, we square the differences first (use power of 2), not take their square root. Think about how Pythagoras would do it!"
}</t>
  </si>
  <si>
    <t>4.772932052612305</t>
  </si>
  <si>
    <t>The hint directly addresses the error in the distance formula, which aligns with the expected hint that there is an error in the formula.</t>
  </si>
  <si>
    <t>It only suggests changing the exponent from 0.5 to 2, which is a single step fix.</t>
  </si>
  <si>
    <t>The hint does not contain specific Python syntax or a snippet; it is stated conceptually.</t>
  </si>
  <si>
    <t>{
    "thought": "Looking at the solution and error message 'must be real number, not complex', I see the student is using power of 0.5 instead of power of 2 in the distance formula. This creates complex numbers when differences are negative.",
    "is_complete": true,
    "is_correct": false,
    "errors_or_next_steps": "Incorrect power in distance formula causing complex number calculations",
    "hint_first_draft": "Check your distance formula. When calculating differences between coordinates, what power should you raise them to?",
    "reflection": "The hint should be more specific about squaring but not give away the exact solution. Let's remind them about the standard distance formula.",
    "hint": "Remember the distance formula uses squares of differences between points, not square roots. Take another look at that calculation!"
}</t>
  </si>
  <si>
    <t>The hint addresses the same issue with the distance formula, stating that the differences should be squared rather than using a square root for each term.</t>
  </si>
  <si>
    <t>It only points out the distance formula error as a single step without suggesting multiple actions.</t>
  </si>
  <si>
    <t>It does not provide any Python code snippet, only a conceptual correction.</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</si>
  <si>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from math import sqrt
def solution(data):
    closest_distance = 27
    for item in data:
        dims = item.split(":")[1].split(',')
        x_curr = float(dims[1])
        y_curr = float(dims[2])
        z_curr = float(dims[3])
        for other_item in data:
            if item == other_item:
                continue
            dims_other = other_item.split(":")[1].split(',')
            x_other = float(dims_other[1])
            y_other = float(dims_other[2])
            z_other = float(dims_other[3])
            distance = sqrt((x_curr-x_other)**0.5 +
                            (y_curr-y_other)**0.5 + (z_curr-z_other)**0.5)
            if distance &lt; closest_distance:
                closest_distance = distance
    return round(closest_distance, 3)
Test Case Results:
{'testCases': [{'actualOutput': '', 'passed': False, 'error': 'must be real number, not complex', 'testCase': {'input': ['Star A: 1.0, 0.0, 0.0, 0.0', 'Star B: 1.0, 0.0, 2.0, 0.0', 'Star C: 1.0, 2.0, 1.0, 0.0'], 'expectedOutput': 2, 'description': ''}}, {'actualOutput': '', 'passed': False, 'error': 'must be real number, not complex', 'testCase': {'input': ['Alpha: 3.5, 1.0, -1.0, 2.0', 'Beta: 4.2, 2.0, -1.5, 2.5', 'Gamma: 5.1, -1.0, 2.0, -2.0', 'Delta: 2.8, -1.2, 2.3, -2.1', 'Epsilon: 6.3, 3.0, -2.0, 3.0'], 'expectedOutput': 0.374, 'description': ''}}], 'numPassed': 0, 'numFailed': 2, 'stderr': ''}
</t>
  </si>
  <si>
    <t>{
    "thought_on_correctness": "Solution is incorrect based on test case results showing complex number error",
    "thought_on_completeness": "Solution is complete but has a logical error",
    "thought_on_next_steps": "N/A",
    "thought_on_errors": "The distance formula is using power of 0.5 instead of power of 2, causing negative numbers under square root",
    "hint_first_draft": "Check your distance formula. When finding the difference between coordinates, you need to square them before taking the square root.",
    "reflection": "Hint focuses on the key mathematical error without explicitly giving away the solution, maintains conversational tone, and is under 50 words",
    "hint": "Remember in the distance formula, you square the differences between coordinates first, not the other way around!"
}</t>
  </si>
  <si>
    <t>4.300919055938721</t>
  </si>
  <si>
    <t>The hint points to fixing the distance formula, which matches the expected hint about an error therein.</t>
  </si>
  <si>
    <t>It only suggests one specific action: correctly square the differences for the distance formula.</t>
  </si>
  <si>
    <t>No specific code or snippets are included in the hint.</t>
  </si>
  <si>
    <t>{
    "thought_on_correctness": "Solution is incorrect as both test cases failed with complex number error",
    "thought_on_completeness": "Solution is complete but has a logical error",
    "thought_on_next_steps": null,
    "thought_on_errors": "The distance formula uses square root of squares, but code uses square root of square roots",
    "hint_first_draft": "Check your distance formula. When calculating differences between coordinates, you need to square the differences before taking the square root.",
    "reflection": "Hint focuses on the specific mathematical error without giving away the solution, keeping it conversational and avoiding technical terms",
    "hint": "Remember your high school math! To find the distance between two points, square the differences first, then take the square root of the sum."
}</t>
  </si>
  <si>
    <t>4.385593891143799</t>
  </si>
  <si>
    <t>The hint addresses fixing the distance formula, which aligns with the expected hint that there's an error in the distance formula.</t>
  </si>
  <si>
    <t>It points to a single next step‚Äîcorrectly squaring the differences then taking the square root.</t>
  </si>
  <si>
    <t>No specific Python code or code snippet is provided; it only references the mathematical approach.</t>
  </si>
  <si>
    <t>{
    "thought_on_correctness": "Solution is incorrect based on failed test cases with complex number error",
    "thought_on_completeness": "Solution is complete but has logical error in distance calculation",
    "thought_on_next_steps": "N/A - solution is complete but needs correction",
    "thought_on_errors": "The distance formula is using square root (0.5) power instead of square (2) power for differences",
    "hint_first_draft": "Check your distance calculation formula. When finding differences between coordinates, think about what power you should raise them to.",
    "reflection": "Hint focuses on the core mathematical error without explicitly giving away the solution, encouraging student to think about the correct power operation",
    "hint": "In your distance formula, think about whether you want to find the square root of the differences, or square the differences first?"
}</t>
  </si>
  <si>
    <t>4.611095190048218</t>
  </si>
  <si>
    <t>The hint points out the same error (the incorrect exponent in the distance formula) as the expected hint.</t>
  </si>
  <si>
    <t>It suggests a single adjustment (fixing the distance calculation) rather than multiple steps.</t>
  </si>
  <si>
    <t>It does not contain any explicit Python code or code snippets.</t>
  </si>
  <si>
    <t>```json
{
  "thought_on_correctness": "is solution correct based on the test case results",
  "thought_on_completeness": "is solution complete",
  "thought_on_next_steps": "the likely next step is to correct the distance calculation method",
  "thought_on_errors": "there's a syntax error in how you're calculating the distance, specifically you should use the power of 2, not 0.5",
  "hint_first_draft": "Check your distance calculation method; ensure you're squaring the differences rather than taking the square root.",
  "reflection": "I focused on the test case errors and found a syntax issue in the distance calculation. I ensured to highlight an immediate next step to rectify it without giving away the full solution.",
  "hint": "Make sure you're squaring the differences in your distance calculation."
}
```</t>
  </si>
  <si>
    <t>2.456209182739258</t>
  </si>
  <si>
    <t>The hint accurately points out that the error lies in the distance formula by indicating the need to square the differences, matching the expected hint about the formula error.</t>
  </si>
  <si>
    <t>It suggests only one action: squaring the differences in the distance calculation, which can be implemented in a single line of code.</t>
  </si>
  <si>
    <t>It does not provide any specific Python code or snippet, only a general statement.</t>
  </si>
  <si>
    <t>```json
{
  "thought_on_correctness": "is solution correct based on the test case results",
  "thought_on_completeness": "is solution complete",
  "thought_on_next_steps": "if solution is incomplete, what is the likely next step",
  "thought_on_errors": "find any errors in the solution",
  "hint_first_draft": "There‚Äôs an issue with the calculation of distance; ensure you‚Äôre using square instead of fourth root for the differences.",
  "reflection": "The test results indicate multiple errors, including a syntax issue related to type complexity. Given this, the hint addresses a logical error in distance calculation. It's concise and focused.",
  "hint": "Double-check the formula for distance; you're using the wrong operation for the differences."
}
```</t>
  </si>
  <si>
    <t>3.0708189010620117</t>
  </si>
  <si>
    <t>The hint clearly points out there is an error in the distance formula, matching the expected hint's intention.</t>
  </si>
  <si>
    <t>It only guides the user to check the distance formula; it does not suggest multiple distinct next steps.</t>
  </si>
  <si>
    <t>{
  "thought_on_correctness": "solution is incorrect based on the test case results",
  "thought_on_completeness": "solution is incomplete",
  "thought_on_next_steps": "correct the calculation of distance to use proper exponentiation",
  "thought_on_errors": "the error arises from using **0.5 instead of **2 in the distance formula",
  "hint_first_draft": "Check your distance calculation; make sure to square the differences instead of taking the square root.",
  "reflection": "The solution is incorrect due to test cases failing. The distance calculation seems to be flawed. There's a need to correct the mathematical operations to properly compute the Euclidean distance.",
  "hint": "Correct the distance calculation to square the differences properly!"
}</t>
  </si>
  <si>
    <t>1.8556621074676514</t>
  </si>
  <si>
    <t>The hint specifically addresses the error in the distance formula by mentioning that the differences need to be squared, matching the expected hint's intention.</t>
  </si>
  <si>
    <t>It focuses on a single correction (squaring the differences) rather than multiple steps.</t>
  </si>
  <si>
    <t>No actual Python code or code snippet is included.</t>
  </si>
  <si>
    <t>```json
{
  "thought": "The test case results indicate that the student's solution is incorrect and complete. The error message suggests a syntax issue when calculating the distance, which should involve squaring the differences, not taking their square root.",
  "is_complete": true,
  "is_correct": false,
  "errors_or_next_steps": "Syntax error in distance calculation.",
  "hint": "Check your distance formula. Ensure you square the differences, not take their square root."
}
```</t>
  </si>
  <si>
    <t>1.6374242305755615</t>
  </si>
  <si>
    <t>The hint directly points out that the distance formula is incorrect, matching the expected hint's intention to fix the distance formula.</t>
  </si>
  <si>
    <t>It suggests only a single step: fixing the distance calculation by squaring differences instead of taking their square root.</t>
  </si>
  <si>
    <t>It does not include any specific Python code or code snippets, just a conceptual fix.</t>
  </si>
  <si>
    <t>```json
{
  "thought": "The test cases failed with a 'must be real number, not complex' error, indicating an error in the calculation of the distance. The solution seems to be complete as the student has implemented the logic to parse and compute distances between pairs.",
  "is_complete": true,
  "is_correct": false,
  "errors_or_next_steps": "Incorrect use of exponentiation operator for distance calculation.",
  "hint": "Check the square operation in the distance formula. Ensure each difference is squared correctly."
}
```</t>
  </si>
  <si>
    <t>2.354262113571167</t>
  </si>
  <si>
    <t>The hint correctly points out an error in the distance formula, matching the intent of the expected hint.</t>
  </si>
  <si>
    <t>It suggests only one main action: ensuring that each difference is squared properly.</t>
  </si>
  <si>
    <t>No specific Python code or snippets are included.</t>
  </si>
  <si>
    <t>```json
{
  "thought": "The test cases failed, and the error suggests the distance calculation produced a complex number. The syntax error lies in using '**0.5' for square root, which is incorrect.",
  "is_complete": true,
  "is_correct": false,
  "errors_or_next_steps": "Correct the exponent used for calculating Euclidean distance.",
  "hint": "Ensure you're squaring the differences correctly before summing them up in distance calculation."
}
```</t>
  </si>
  <si>
    <t>1.7393207550048828</t>
  </si>
  <si>
    <t>The hint aligns with the expected hint that the distance formula is incorrect and needs fixing, specifically regarding the squared terms.</t>
  </si>
  <si>
    <t>It suggests only one action: ensuring the differences are squared properly in the distance calculation.</t>
  </si>
  <si>
    <t>The hint gives a general instruction without showing any specific code or snippet.</t>
  </si>
  <si>
    <t>```json
{
  "thought": "The test case results show a failure with 'must be real number, not complex'. This indicates there's likely an error in computing the Euclidean distance formula. The student's solution appears to be complete as it calculates distances for all pairs, but a syntax error in the formula leads to a complex number.",
  "is_complete": true,
  "is_correct": false,
  "errors_or_next_steps": "A syntax issue is present while calculating the Euclidean distance.",
  "hint_first_draft": "Check the powers in your distance formula. It should involve squaring the differences, not taking their square root.",
  "reflection": "The hint should address the syntax error since it's causing the failure. Mentioning squaring instead of square root is critical because that's the root of the problem.",
  "hint": "Check the powers in your distance formula. It should involve squaring the differences, not taking their square root."
}
```</t>
  </si>
  <si>
    <t>4.657313108444214</t>
  </si>
  <si>
    <t>The hint clearly points out the error in the distance formula (using 0.5 instead of squaring), matching the expected intention of highlighting a formula mistake.</t>
  </si>
  <si>
    <t>It suggests only one specific change: correct the exponent from 0.5 to squaring the difference.</t>
  </si>
  <si>
    <t>No direct Python code or snippet is provided in the hint.</t>
  </si>
  <si>
    <t>```json
{
  "thought": "The solution is incorrect based on the test case results. It seems that the square root is incorrectly applied to the differences, leading to complex numbers. Since there are syntax issues, focus on correcting order of operations for calculating Euclidean distance.",
  "is_complete": true,
  "is_correct": false,
  "errors_or_next_steps": "Square root should be applied after summing the squares of differences, not before.",
  "hint_first_draft": "Be cautious with applying square roots: ensure summing differences squared happens first, then square root.",
  "reflection": "The hint gives a clear direction to recheck the order of operations involved in distance computation, which is essential and concise.",
  "hint": "Be cautious with applying square roots: ensure summing differences squared happens first, then square root."
}
```</t>
  </si>
  <si>
    <t>3.276700973510742</t>
  </si>
  <si>
    <t>The hint directly addresses the erroneous distance calculation, matching the expected hint indicating there's an error.</t>
  </si>
  <si>
    <t>It suggests only one action‚Äîfix the distance formula by summing squared differences before taking the square root.</t>
  </si>
  <si>
    <t>The hint is conceptual and does not provide any explicit Python code snippet.</t>
  </si>
  <si>
    <t>```json
{
  "thought": "The test case results indicate the solution is incorrect because both tests failed. The error messages suggest there is a complex number issue, likely due to incorrect calculation of Euclidean distance. The solution appears complete since it attempts to solve the entire problem.",
  "is_complete": true,
  "is_correct": false,
  "errors_or_next_steps": "Syntax error in distance calculation leads to complex values.",
  "hint_first_draft": "Check the distance calculation. The current formula could lead to complex numbers.",
  "reflection": "I identified a syntax error in the formula for calculating the Euclidean distance. The student needs to fix this. The hint is concise and directs focus to the core issue without being overly specific about method names.",
  "hint": "Check the distance calculation. The current formula could lead to complex numbers."
}
```</t>
  </si>
  <si>
    <t>3.2088510990142822</t>
  </si>
  <si>
    <t>The hint and the expected hint both address the error in the distance formula, so they match in intention.</t>
  </si>
  <si>
    <t>The hint only provides a single piece of advice‚Äîchecking the distance calculation‚Äîrather than multiple distinct actions.</t>
  </si>
  <si>
    <t>No code or code snippets are provided in the hint.</t>
  </si>
  <si>
    <t>```json
{
  "thought_on_correctness": "is solution correct based on the test case results",
  "thought_on_completeness": "is solution complete",
  "thought_on_next_steps": "if solution is incomplete, what is the likely next step",
  "thought_on_errors": "find any errors in the solution",
  "hint_first_draft": "Check the formula used for calculating distances. Ensure you're using squares of differences rather than square roots.",
  "reflection": "I assessed the syntax and logic of the solution based on the test case errors. The immediate fault appears in the incorrect application of the distance calculation formula. The hint directs the student to correct this logic without giving away the correct implementation.",
  "hint": "Check the formula used for calculating distances. Ensure you're using squares of differences rather than square roots."
}
```</t>
  </si>
  <si>
    <t>2.5323679447174072</t>
  </si>
  <si>
    <t>Both the provided and expected hints address the error in the distance formula, specifically the incorrect use of root exponents instead of squares.</t>
  </si>
  <si>
    <t>The hint suggests only a single fix: using squares of differences in the distance formula, which is one step.</t>
  </si>
  <si>
    <t>The hint does not include any explicit Python code or code snippets.</t>
  </si>
  <si>
    <t>```json
{
  "thought_on_correctness": "The solution is incorrect based on the test case results.",
  "thought_on_completeness": "The solution is complete.",
  "thought_on_next_steps": "Not applicable since the solution is complete.",
  "thought_on_errors": "The code attempts to calculate square roots of already squared differences, resulting in complex numbers.",
  "hint_first_draft": "Check how the square roots are used in the distance formula. They should apply to the squared differences, not individually.",
  "reflection": "The solution has a logical error in the Euclidean distance calculation, which causes the function to produce complex numbers.",
  "hint": "Check how the square roots are used in the distance formula. They should apply to the squared differences, not individually."
}
```</t>
  </si>
  <si>
    <t>3.3080551624298096</t>
  </si>
  <si>
    <t>The hint clearly points to the error in the distance formula, matching the intended correction.</t>
  </si>
  <si>
    <t>It suggests only one fix: apply the square root over the sum of squared differences.</t>
  </si>
  <si>
    <t>```json
{
  "thought_on_correctness": "The solution is incorrect based on the test case results.",
  "thought_on_completeness": "The solution is complete, as it attempts all required steps.",
  "thought_on_next_steps": "The solution is complete, no immediate next step in terms of structure.",
  "thought_on_errors": "There is a syntax error in calculating the Euclidean distance using square roots.",
  "hint_first_draft": "Review the formula for Euclidean distance. The use of square roots seems incorrect.",
  "reflection": "The solution contains a syntax error where the square roots are applied incorrectly in the distance calculation formula. My hint addresses this error while maintaining brevity and ensuring the student focuses on the core issue in their code.",
  "hint": "Review the formula for Euclidean distance. The use of square roots seems incorrect."
}
```</t>
  </si>
  <si>
    <t>2.6577939987182617</t>
  </si>
  <si>
    <t>The hint points out an error in how the distance is being computed, aligning with the expected hint that there's an issue in the distance formula.</t>
  </si>
  <si>
    <t>It suggests only one corrective action ‚Äî to review/fix the distance formula ‚Äî rather than multiple steps.</t>
  </si>
  <si>
    <t>No specific code or code snippet is provided in the hint.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</si>
  <si>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**Problem Statement:**
Given an array of strings, where each string represents a star system in the format:
"Star Name: distance, x, y, z" (assume maximum distance possible is 26)
Your task is to:
1. Parse each string to extract the star's 3D coordinates (x, y, z).
2. Compute the Euclidean distance between every unique pair of star systems using the formula:
  distance = sqrt{(x_1 - x_2)^2 + (y_1 - y_2)^2 + (z_1 - z_2)^2}
3. Return the smallest computed distance, rounded to three decimal places.
**Example:**
_Input:_
- `["Star A: 1.0, 0.0, 0.0, 0.0", "Star B: 2.0, 3.0, 0.0, 0.0"]`
_Expected Output:_
- `3.000`
Student Solution:
from math import sqrt
def solution(data):
    closest_distance = 27
    for item in data:
        dims = item.split(":")[1].split(',')
        x_curr = float(dims[1])
        y_curr = float(dims[2])
        z_curr = float(dims[3])
        for other_item in data:
            if item == other_item:
                continue
            dims_other = other_item.split(":")[1].split(',')
            x_other = float(dims_other[1])
            y_other = float(dims_other[2])
            z_other = float(dims_other[3])
            distance = sqrt((x_curr-x_other)**0.5 +
                            (y_curr-y_other)**0.5 + (z_curr-z_other)**0.5)
            if distance &lt; closest_distance:
                closest_distance = distance
    return round(closest_distance, 3)
Test Case Results:
{'testCases': [{'actualOutput': '', 'passed': False, 'error': 'must be real number, not complex', 'testCase': {'input': ['Star A: 1.0, 0.0, 0.0, 0.0', 'Star B: 1.0, 0.0, 2.0, 0.0', 'Star C: 1.0, 2.0, 1.0, 0.0'], 'expectedOutput': 2, 'description': ''}}, {'actualOutput': '', 'passed': False, 'error': 'must be real number, not complex', 'testCase': {'input': ['Alpha: 3.5, 1.0, -1.0, 2.0', 'Beta: 4.2, 2.0, -1.5, 2.5', 'Gamma: 5.1, -1.0, 2.0, -2.0', 'Delta: 2.8, -1.2, 2.3, -2.1', 'Epsilon: 6.3, 3.0, -2.0, 3.0'], 'expectedOutput': 0.374, 'description': ''}}], 'numPassed': 0, 'numFailed': 2, 'stderr': ''}
</t>
  </si>
  <si>
    <t>{"hint": "Consider squaring the differences instead of raising them to 0.5 in your distance calculation."}</t>
  </si>
  <si>
    <t>5.3200390338897705</t>
  </si>
  <si>
    <t>The hint addresses the exact error in the distance formula by pointing out the need to square the differences.</t>
  </si>
  <si>
    <t>It only suggests a single action: changing the exponent from 0.5 to squaring.</t>
  </si>
  <si>
    <t>No code snippet or direct Python code is provided.</t>
  </si>
  <si>
    <t>{
  "hint": "Your distance formula uses a fractional power. Consider squaring the differences before taking the square root to avoid computing complex numbers."
}</t>
  </si>
  <si>
    <t>The hint accurately points out the mistake in the distance formula, which aligns with the expected hint about the error in the formula.</t>
  </si>
  <si>
    <t>It provides a single step (change fractional power to squaring) rather than multiple distinct steps.</t>
  </si>
  <si>
    <t>It does not present any explicit Python code snippet, only a verbal suggestion.</t>
  </si>
  <si>
    <t>{"hint": "Notice the distance calculation is off. Instead of raising differences to the 0.5 power, try squaring them to avoid complex results."}</t>
  </si>
  <si>
    <t>5.324636936187744</t>
  </si>
  <si>
    <t>The hint directly addresses the error in the distance formula, matching the expected hint's intention of highlighting an incorrect calculation.</t>
  </si>
  <si>
    <t>It suggests only a single change (replacing 0.5 with squaring) and does not outline multiple steps.</t>
  </si>
  <si>
    <t>No explicit Python code snippet or method is provided; it's only a conceptual correction.</t>
  </si>
  <si>
    <t>busy_moon_rovers</t>
  </si>
  <si>
    <t>questions/busy_moon_rovers/1_incomplete.py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</si>
  <si>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loc_to_index = {loc: i for i, loc in enumerate(data["locations"])}
    for route in data["routes"]:
        route_path = route.split(":", 1)[1]
        stops = [stop.strip()
                 for stop in route_path.split("-&gt;") if stop.strip()]
        for i in range(len(stops) - 1):
            from_idx = loc_to_index[stops[i]]
            to_idx = loc_to_index[stops[i + 1]]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</si>
  <si>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solution appears incomplete as it's not returning any value (returns None). The student has correctly set up the distance calculation loop but hasn't added the distances or returned the final total.",
    "is_complete": false,
    "is_correct": false,
    "errors_or_next_steps": "Missing addition of distances and return statement",
    "hint": "You're on the right track! For each pair of stops, add up their distances using your distance matrix. Don't forget to return your total at the end."
}</t>
  </si>
  <si>
    <t>3.291069984436035</t>
  </si>
  <si>
    <t>The hint aligns with the expected advice to increment the total distance for the route.</t>
  </si>
  <si>
    <t>It suggests both adding distances for each pair of stops and returning the total value, which are two distinct actions.</t>
  </si>
  <si>
    <t>It provides instructions but does not include any specific Python code or snippets.</t>
  </si>
  <si>
    <t>Good job so far, now you need to increment the total distance for the current path</t>
  </si>
  <si>
    <t>{
    "thought": "The solution is incomplete as it's collecting the indices of consecutive locations but not adding up the distances. No return statement or distance calculation from the distance matrix is present.",
    "is_complete": false,
    "is_correct": false,
    "errors_or_next_steps": "Missing distance calculation and return statement",
    "hint": "You've mapped the locations to their indices nicely! Now use these indices to look up the distances in your distance matrix and add them up."
}</t>
  </si>
  <si>
    <t>3.072277069091797</t>
  </si>
  <si>
    <t>It aligns with the intended hint of incrementing the total distance for the path.</t>
  </si>
  <si>
    <t>It suggests only a single next step: use the indices to look up the distance and add it to the total.</t>
  </si>
  <si>
    <t>It does not contain any specific Python code or code snippets.</t>
  </si>
  <si>
    <t>{
    "thought": "The solution is incomplete as it's not returning any value and not calculating the final distances. After getting indices, student needs to look up distances in the matrix and sum them.",
    "is_complete": false,
    "is_correct": false,
    "errors_or_next_steps": "Missing the final calculation and return statement. Need to use indices to look up distances and add them.",
    "hint": "Once you have the location indices, look up the corresponding values in the distance matrix and add them to your total. Don't forget to return the final sum!"
}</t>
  </si>
  <si>
    <t>3.277155876159668</t>
  </si>
  <si>
    <t>It aligns with the expected hint of incrementing the total distance.</t>
  </si>
  <si>
    <t>It suggests multiple separate actions: looking up values in the matrix, updating total, and returning it.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</si>
  <si>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loc_to_index = {loc: i for i, loc in enumerate(data["locations"])}
    for route in data["routes"]:
        route_path = route.split(":", 1)[1]
        stops = [stop.strip()
                 for stop in route_path.split("-&gt;") if stop.strip()]
        for i in range(len(stops) - 1):
            from_idx = loc_to_index[stops[i]]
            to_idx = loc_to_index[stops[i + 1]]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</si>
  <si>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solution is incomplete as it's missing the part where it accumulates distances and returns the total. It has the correct setup with dictionary comprehension and route parsing but doesn't complete the calculation.",
    "is_complete": false,
    "is_correct": false,
    "errors_or_next_steps": "Missing total distance calculation and return statement",
    "hint_first_draft": "You're parsing the routes correctly, but what should you do with the from_idx and to_idx you found? Think about how to use these to add up the distances.",
    "reflection": "The hint should guide them to use the distance matrix without explicitly telling them. Keep it conversational and focus on the immediate next step.",
    "hint": "Nice route parsing! Now that you have the starting and ending points for each segment, how would you find and add up the distances between them?"
}</t>
  </si>
  <si>
    <t>4.706698894500732</t>
  </si>
  <si>
    <t>Both the given hint and the expected hint focus on adding up the distances for each segment to update the total distance.</t>
  </si>
  <si>
    <t>The hint primarily suggests a single action: computing (finding) the distance and adding it to the total.</t>
  </si>
  <si>
    <t>No Python code snippets or direct references to specific code are provided.</t>
  </si>
  <si>
    <t>{
    "thought": "The solution is incomplete. The student has correctly set up the structure to parse routes and calculate distances, but they haven't added the distances to the total or returned the final result.",
    "is_complete": false,
    "is_correct": false,
    "errors_or_next_steps": "Missing distance calculation and return statement",
    "hint_first_draft": "You're almost there! For each pair of stops, you need to add their distance to your total. Don't forget to return your final result.",
    "reflection": "The hint should be more focused on the immediate next step. Since they've already got the indices, pointing them towards using the distances matrix is most helpful.",
    "hint": "You've got your location pairs - now look up each pair's distance in your distance table and add it to your running total!"
}</t>
  </si>
  <si>
    <t>4.5018908977508545</t>
  </si>
  <si>
    <t>The given hint directs the user to add each pair's distance to the total, which matches the expected goal of incrementing the distance.</t>
  </si>
  <si>
    <t>It instructs the user to perform a single task (look up the distance and add it), which can be done in one line of code.</t>
  </si>
  <si>
    <t>No actual Python code or code snippets are provided in the hint.</t>
  </si>
  <si>
    <t>{
    "thought": "The solution looks incomplete as it's not returning any value or accumulating the distances. The code correctly maps locations to indices and parses routes, but doesn't add up distances or return total.",
    "is_complete": false,
    "is_correct": false,
    "errors_or_next_steps": "Need to add distance calculation and return statement",
    "hint_first_draft": "You're tracking the locations well, but what about adding up the distances between each pair of stops? Don't forget to return your result!",
    "reflection": "The hint focuses on the immediate next step without giving away the solution, maintaining a conversational tone while pointing out the missing calculation and return statement.",
    "hint": "You're tracking the path correctly, but what about adding up the journey distances? Remember to return your final total!"
}</t>
  </si>
  <si>
    <t>3.9936599731445312</t>
  </si>
  <si>
    <t>The hint aligns with the expected hint‚Äôs intent to add the journey distance and then return the total.</t>
  </si>
  <si>
    <t>It suggests both adding up the journey distances and returning the total, which can be viewed as two separate actions.</t>
  </si>
  <si>
    <t>The hint does not include any explicit code snippets or Python-specific syntax.</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</si>
  <si>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loc_to_index = {loc: i for i, loc in enumerate(data["locations"])}
    for route in data["routes"]:
        route_path = route.split(":", 1)[1]
        stops = [stop.strip()
                 for stop in route_path.split("-&gt;") if stop.strip()]
        for i in range(len(stops) - 1):
            from_idx = loc_to_index[stops[i]]
            to_idx = loc_to_index[stops[i + 1]]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</si>
  <si>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"thought_on_correctness": "The solution is incorrect as it failed the test case",
    "thought_on_completeness": "The solution is incomplete as it's missing critical steps",
    "thought_on_next_steps": "Need to add the distance calculation and return statement for total distance",
    "thought_on_errors": "The code doesn't add the distances between consecutive locations to the total_distance variable",
    "hint_first_draft": "Don't forget to sum up the distances between consecutive stops in each route using the distances matrix and return the total at the end.",
    "reflection": "Hint needs to be more conversational and avoid direct references to implementation details",
    "hint": "Hey! You're on the right track with mapping the locations, but remember to add up the journey distances and tell me the final total!"
}</t>
  </si>
  <si>
    <t>3.8580291271209717</t>
  </si>
  <si>
    <t>The hint clearly aligns with the need to increment the total distance just as the expected hint indicates.</t>
  </si>
  <si>
    <t>It essentially tells you to do one combined action: add the journey distances to produce the final total.</t>
  </si>
  <si>
    <t>{
    "thought_on_correctness": "Solution is incorrect based on test case results showing 'None' output instead of expected numeric value.",
    "thought_on_completeness": "Solution is incomplete. Missing return statement and distance calculation.",
    "thought_on_next_steps": "Need to add distance calculation and return total_distance.",
    "thought_on_errors": "Solution gets location indices but doesn't use distances matrix to sum up the distances.",
    "hint_first_draft": "You're tracking the locations well, but what about adding up the distances between each pair of stops? Don't forget to return your result!",
    "reflection": "Hint focuses on immediate issue of missing distance calculation, keeps it conversational, and avoids explicit programming terms.",
    "hint": "Looking good so far! Now you need to add up the distances between each pair of stops. Think about checking your distance table for each pair."
}</t>
  </si>
  <si>
    <t>4.6061389446258545</t>
  </si>
  <si>
    <t>The given hint aligns with the expected hint by instructing to add distances for each pair of stops to the total.</t>
  </si>
  <si>
    <t>It essentially suggests one main action: summing distances for each pair of stops from the distance table.</t>
  </si>
  <si>
    <t>{
    "thought_on_correctness": "The solution is incorrect as it fails the test case, returning None instead of the expected numerical output",
    "thought_on_completeness": "The solution is incomplete, missing the final calculation and return statement",
    "thought_on_next_steps": "After getting the indices for consecutive locations, we need to sum up the distances between them",
    "thought_on_errors": "The code doesn't add up the distances from the distance matrix or return a final result",
    "hint_first_draft": "You're getting the location indices correctly, but what should you do with those indices? Think about how to use them with the distances matrix.",
    "reflection": "The hint should be simpler and focus on the immediate next step without mentioning technical terms like indices or matrix",
    "hint": "You've found the locations, now don't forget to add up the distances between each pair of stops and return the total!"
}</t>
  </si>
  <si>
    <t>5.020587205886841</t>
  </si>
  <si>
    <t>Both the given hint and the expected hint focus on accumulating the total distance for each route, so they match in intention.</t>
  </si>
  <si>
    <t>The hint only specifies adding distances and returning the total, which is effectively one main action.</t>
  </si>
  <si>
    <t>It does not include any Python-specific code or snippets.</t>
  </si>
  <si>
    <t>```json
{
  "thought_on_correctness": "is solution correct based on the test case results",
  "thought_on_completeness": "is solution complete",
  "thought_on_next_steps": "parse the routes correctly and calculate the total distance traveled",
  "thought_on_errors": "the function does not return the total distance value",
  "hint_first_draft": "Make sure to return the calculated total distance at the end of your solution.",
  "reflection": "The solution is incomplete due to the lack of a return statement, which is crucial for output. Emphasizing this missing return at the end aligns with the rules laid out.",
  "hint": "Make sure to return the calculated total distance at the end of your solution."
}
```</t>
  </si>
  <si>
    <t>3.2796449661254883</t>
  </si>
  <si>
    <t>The expected hint focuses on incrementing the total distance during the loop, but the given hint only addresses returning the final total distance.</t>
  </si>
  <si>
    <t>The hint merely suggests one step (returning the total) and does not propose multiple actions.</t>
  </si>
  <si>
    <t>It does not provide any code snippet or Python-specific details; it only mentions the necessity of returning the variable.</t>
  </si>
  <si>
    <t>```json
{
  "thought_on_correctness": "incorrect",
  "thought_on_completeness": "incomplete",
  "thought_on_next_steps": "you need to ensure you return the total distance calculated",
  "thought_on_errors": "the function does not return a value",
  "hint_first_draft": "Don't forget to return the total distance at the end of your function.",
  "reflection": "The solution failed to pass the test case, indicating it's incorrect. It also needs to return a value, making it incomplete. I focused on the most immediate step, which is to ensure a return statement is included.",
  "hint": "Make sure to return the total distance at the end of your calculations."
}
```</t>
  </si>
  <si>
    <t>3.1623289585113525</t>
  </si>
  <si>
    <t>The provided hint focuses on returning the total distance whereas the expected hint emphasizes incrementing it, so they don't match in intention.</t>
  </si>
  <si>
    <t>Only one action is suggested: returning the total distance.</t>
  </si>
  <si>
    <t>{
  "thought_on_correctness": "incorrect",
  "thought_on_completeness": "incomplete",
  "thought_on_next_steps": "ensure that each journey's distance is calculated and summed properly",
  "thought_on_errors": "the output is not correctly computed since the return statement is missing",
  "hint_first_draft": "Remember to return the total distance after calculating it at the end of your function.",
  "reflection": "Based on the test case results, the solution is incorrect and incomplete. The absence of a return statement is a clear missing step, so I focused my hint on this immediate next action.",
  "hint": "Remember to return the total distance after calculating it!"
}</t>
  </si>
  <si>
    <t>2.2269279956817627</t>
  </si>
  <si>
    <t>The provided hint focuses on returning the total distance, whereas the expected hint guides the user to increment the total distance first. They do not share the same intention.</t>
  </si>
  <si>
    <t>The hint only suggests one action‚Äîreturning the total distance‚Äîso it does not propose multiple steps.</t>
  </si>
  <si>
    <t>There is no specific Python code or snippet provided in the hint.</t>
  </si>
  <si>
    <t>```json
{
  "thought": "The student solution does not return a calculated total distance, causing all test cases to fail. The function lacks a 'return' statement to output the result after calculations are completed.",
  "is_complete": false,
  "is_correct": false,
  "errors_or_next_steps": "The function should return the calculated total distance.",
  "hint": "Make sure your function returns the accumulated distance once calculations are complete."
}
```</t>
  </si>
  <si>
    <t>1.9474809169769287</t>
  </si>
  <si>
    <t>The expected hint is about incrementing the total distance for each path, whereas the given hint only addresses returning the distance at the end, which does not match the main intention of updating the total.</t>
  </si>
  <si>
    <t>It provides only one action: returning the accumulated distance, rather than multiple next steps.</t>
  </si>
  <si>
    <t>The hint does not include any code snippet or specific Python code.</t>
  </si>
  <si>
    <t>```json
{
  "thought": "The solution is incorrect as the test case failed. The code is incomplete because it does not calculate the total distance yet. The next step should involve accumulating the distances between locations found in the stops list.",
  "is_complete": false,
  "is_correct": false,
  "errors_or_next_steps": "Accumulate distances using the indices from loc_to_index.",
  "hint": "Try adding the distances between consecutive stops to the total distance."
}
```</t>
  </si>
  <si>
    <t>1.840770959854126</t>
  </si>
  <si>
    <t>The hint aligns with the expected message of adding distances for each stop to the total distance.</t>
  </si>
  <si>
    <t>It suggests only a single step: incrementing the total distance with consecutive stops.</t>
  </si>
  <si>
    <t>```json
{
  "thought": "The student's solution is incorrect as the test case did not pass. The solution appears complete as it includes logic to look up distances and iterate through routes. However, it lacks the step of updating or returning the total distance, which seems to be a missing implementation detail.",
  "is_complete": true,
  "is_correct": false,
  "errors_or_next_steps": "The code does not compute or return the total distance.",
  "hint": "Remember to update the total distance within the loop and return it at the end."
}
```</t>
  </si>
  <si>
    <t>2.0468780994415283</t>
  </si>
  <si>
    <t>The hint correctly aligns with the intention of incrementing total distance in the loop and then returning it.</t>
  </si>
  <si>
    <t>It suggests updating the total distance (one step) and then returning it (another step).</t>
  </si>
  <si>
    <t>```json
{
  "thought": "The solution is incorrect as returned output is 'None' instead of the expected numerical value. The test case failed, suggesting an incomplete solution. Observing the student's code, they calculate indices but don't sum distances yet.",
  "is_complete": false,
  "is_correct": false,
  "errors_or_next_steps": "Sum the distances for consecutive locations in a route.",
  "hint_first_draft": "You need to add the distances between consecutive stops in each route to the total.",
  "reflection": "The hint focuses on guiding the student to complete their code by incorporating the calculated distances into the total. The error is conceptual, so providing direction on the next coding step is helpful.",
  "hint": "You need to add the distances between consecutive stops in each route to the total."
}
```</t>
  </si>
  <si>
    <t>2.7196707725524902</t>
  </si>
  <si>
    <t>Both the actual hint and the expected hint instruct the user to increment the total distance for consecutive stops, matching the same intention.</t>
  </si>
  <si>
    <t>It only suggests a single step: adding distances to the total.</t>
  </si>
  <si>
    <t>```json
{
  "thought": "The student's solution is incorrect as the test cases failed due to no output being returned. The solution is incomplete; it lacks a return statement to provide the total distance.",
  "is_complete": false,
  "is_correct": false,
  "errors_or_next_steps": "The solution lacks a return statement to provide an output.",
  "hint_first_draft": "Remember to return the total distance after calculation.",
  "reflection": "Focusing on the missing return statement is crucial as no output results in failed test cases, and addressing this will lead to execution improvement.",
  "hint": "Remember to return the total distance after calculation."
}
```</t>
  </si>
  <si>
    <t>2.043623924255371</t>
  </si>
  <si>
    <t>The hint only mentions returning the total distance but does not address incrementing it, which is the primary intention of the expected hint.</t>
  </si>
  <si>
    <t>It specifies only a single action‚Äîto return the total distance‚Äîrather than multiple next steps.</t>
  </si>
  <si>
    <t>No explicit Python code or snippets are included.</t>
  </si>
  <si>
    <t>```json
{
  "thought": "The solution is incorrect as the test case failed. The solution is incomplete because it doesn't compute the total distance yet. The next step should focus on calculating the distance between consecutive stops.",
  "is_complete": false,
  "is_correct": false,
  "errors_or_next_steps": "Calculate the distance between each pair of consecutive stops.",
  "hint_first_draft": "You are almost there! Consider adding the distances between consecutive stops to get the total distance traveled.",
  "reflection": "The hint guides the student to focus on the key step needed to complete the solution without giving away the answer, maintaining the spirit of learning and problem-solving.",
  "hint": "You are almost there! Consider adding the distances between consecutive stops to get the total distance traveled."
}
```</t>
  </si>
  <si>
    <t>3.292940139770508</t>
  </si>
  <si>
    <t>Both hints share the same goal of adding distances to obtain the total distance traveled.</t>
  </si>
  <si>
    <t>The hint suggests only one main action: adding distances between consecutive stops.</t>
  </si>
  <si>
    <t>```json
{
  "thought_on_correctness": "The solution is incorrect based on the test case results.",
  "thought_on_completeness": "The solution is incomplete.",
  "thought_on_next_steps": "The next step is to implement the step to accumulate or return the total distance calculated.",
  "thought_on_errors": "The function doesn't return the total distance after calculating it between the stops.",
  "hint_first_draft": "Make sure to return the value that represents the total distance traveled.",
  "reflection": "The hint points out a crucial step missing in the student's solution, which is returning the accumulated total distance. This aligns with the task requirements, ensuring clarity and guiding towards the correct solution aspect.",
  "hint": "Make sure to return the value that represents the total distance traveled."
}
```</t>
  </si>
  <si>
    <t>2.5323891639709473</t>
  </si>
  <si>
    <t>The hint focuses on returning the total distance, while the expected hint is about incrementing total distance for the current path. They do not match in intention.</t>
  </si>
  <si>
    <t>The hint only suggests one action (returning the total distance).</t>
  </si>
  <si>
    <t>```json
{
  "thought_on_correctness": "The solution is incorrect based on the test case results.",
  "thought_on_completeness": "The solution is incomplete.",
  "thought_on_next_steps": "The likely next step is to calculate and add up the distances between each pair of consecutive stops for all routes.",
  "thought_on_errors": "There is a missing calculation and update of the total distance traveled.",
  "hint_first_draft": "Try to calculate the distance between consecutive stops and add it to the total distance.",
  "reflection": "In reviewing the student's code, the primary issue was the absence of any operation to compute and accumulate the total distance, which is crucial for solving the problem. My hint focuses on this missing step to guide the student toward completion.",
  "hint": "Try to calculate the distance between consecutive stops and add it to the total distance."
}
```</t>
  </si>
  <si>
    <t>2.561167001724243</t>
  </si>
  <si>
    <t>The hint correctly aligns with the expected intention of adding to the total distance for consecutive stops.</t>
  </si>
  <si>
    <t>It mainly suggests a single next action: calculate and add the distance for consecutive stops.</t>
  </si>
  <si>
    <t>No Python code or specific code snippet is provided in this hint.</t>
  </si>
  <si>
    <t>```json
{
    "thought_on_correctness": "The solution is incorrect as it does not return the expected results for the test case.",
    "thought_on_completeness": "The solution is incomplete as it does not finish the implementation.",
    "thought_on_next_steps": "The next step should be to calculate and add the distance between consecutive stops to the total distance.",
    "thought_on_errors": "The solution does not include a return statement to output the total distance after calculations.",
    "hint_first_draft": "Ensure the total distance is calculated and returned after processing all routes.",
    "reflection": "The primary issue is that the function is missing the logic to sum distances and return the result. Pointing out the immediate next step should help address these issues.",
    "hint": "Ensure the total distance is calculated and returned after processing all routes."
}
```</t>
  </si>
  <si>
    <t>The given hint focuses on ensuring the distance is returned after all routes, whereas the expected hint emphasizes incrementing the total distance on the current path. They do not match in intention.</t>
  </si>
  <si>
    <t>It effectively suggests only one step (calculating and returning the total), without clearly instructing multiple next actions.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</si>
  <si>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loc_to_index = {loc: i for i, loc in enumerate(data["locations"])}
    for route in data["routes"]:
        route_path = route.split(":", 1)[1]
        stops = [stop.strip()
                 for stop in route_path.split("-&gt;") if stop.strip()]
        for i in range(len(stops) - 1):
            from_idx = loc_to_index[stops[i]]
            to_idx = loc_to_index[stops[i + 1]]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</si>
  <si>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{"hint": "You're not accumulating and returning the distance totals. Add a step inside your loop to update the cumulative sum and then return that value."}</t>
  </si>
  <si>
    <t>7.883395671844482</t>
  </si>
  <si>
    <t>Both the provided hint and the expected hint focus on accumulating the total distance inside the loop and returning this accumulated value.</t>
  </si>
  <si>
    <t>The hint suggests two actions: adding a line to accumulate the sum and a separate step to return it.</t>
  </si>
  <si>
    <t>No specific Python code snippet or example is provided in the hint.</t>
  </si>
  <si>
    <t>{"hint": "Your solution is incomplete; you need to update your accumulator with each segment's distance and return the total after processing all routes."}</t>
  </si>
  <si>
    <t>5.936631917953491</t>
  </si>
  <si>
    <t>Both the given hint and the expected hint instruct the user to add to the total distance for each segment, matching in intention.</t>
  </si>
  <si>
    <t>The hint advises updating the accumulator for each segment and then returning the final total, suggesting two actions.</t>
  </si>
  <si>
    <t>No explicit code or code snippets are provided in the hint.</t>
  </si>
  <si>
    <t>{"hint": "It appears you're not updating the total or returning the result. Try adding a step to accumulate the distance during the loop and ensure you return the final total."}</t>
  </si>
  <si>
    <t>4.810062885284424</t>
  </si>
  <si>
    <t>Both the hint and the expected hint focus on updating the total distance in the loop and returning it.</t>
  </si>
  <si>
    <t>The hint suggests two actions: accumulating the distance and returning it.</t>
  </si>
  <si>
    <t>questions/busy_moon_rovers/2_incomplete.py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</si>
  <si>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loc_to_index = {loc: i for i, loc in enumerate(data["locations"])}
    total_distance = 0
    for route in data["routes"]:
        # Use map to strip whitespace and split the route string once
        stops = list(map(str.strip, route.split(":", 1)[1].split("-&gt;")))
        # Use zip to iterate through consecutive stops and sum their distances
        total_distance += sum(
            data["distances"][loc_to_index[a]][loc_to_index[b]]
            for a, b in zip(stops, stops[1:])
        )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</si>
  <si>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solution is complete as it has all the necessary components, but incorrect as it doesn't return the total_distance. The main issue is a missing return statement at the end of the function.",
    "is_complete": true,
    "is_correct": false,
    "errors_or_next_steps": "Missing return statement for the calculated total distance",
    "hint": "You've calculated the total correctly, but your function isn't giving back the final answer. What's missing at the end?"
}</t>
  </si>
  <si>
    <t>3.071342945098877</t>
  </si>
  <si>
    <t>The hint aligns with the expected hint by indicating that the function is missing a return statement.</t>
  </si>
  <si>
    <t>It only suggests a single action (adding a missing return), rather than multiple steps.</t>
  </si>
  <si>
    <t>No specific Python code or snippet is shown in the hint.</t>
  </si>
  <si>
    <t>You are just missing the missing the final step of returning total distance</t>
  </si>
  <si>
    <t>{
    "thought": "The solution is complete but incorrect because it's not returning the total_distance. The core logic seems correct with mapping locations to indices and summing distances, but forgot the final return statement.",
    "is_complete": true,
    "is_correct": false,
    "errors_or_next_steps": "Missing return statement for total_distance calculation",
    "hint": "You've calculated everything correctly, but your function isn't giving back the final answer. Think about what needs to happen after all the calculations are done."
}</t>
  </si>
  <si>
    <t>2.9669699668884277</t>
  </si>
  <si>
    <t>The hint aligns with the intended suggestion of returning the total distance after calculations.</t>
  </si>
  <si>
    <t>It only suggests one step‚Äîreturning the computed result‚Äîwithout multiple separate actions.</t>
  </si>
  <si>
    <t>No Python code snippet or detailed implementation is provided in the hint.</t>
  </si>
  <si>
    <t>{
    "thought": "The solution is complete as it has all required components, but incorrect as it fails test case. The main error is that it doesn't return the total_distance value. The logic seems correct, but missing return statement.",
    "is_complete": true,
    "is_correct": false,
    "errors_or_next_steps": "Missing return statement for total_distance",
    "hint": "Hey! Your calculation looks good, but you're forgetting to tell the program what to send back at the end of your function!"
}</t>
  </si>
  <si>
    <t>3.1774840354919434</t>
  </si>
  <si>
    <t>The hint aligns with the expected hint about adding a return statement for total_distance.</t>
  </si>
  <si>
    <t>It only points out a single next step‚Äîto return the result‚Äîrather than multiple steps.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</si>
  <si>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loc_to_index = {loc: i for i, loc in enumerate(data["locations"])}
    total_distance = 0
    for route in data["routes"]:
        # Use map to strip whitespace and split the route string once
        stops = list(map(str.strip, route.split(":", 1)[1].split("-&gt;")))
        # Use zip to iterate through consecutive stops and sum their distances
        total_distance += sum(
            data["distances"][loc_to_index[a]][loc_to_index[b]]
            for a, b in zip(stops, stops[1:])
        )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</si>
  <si>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solution appears complete in structure but is missing a return statement. The core logic for calculating distances seems correct, but it's not returning the total_distance calculated.",
  "is_complete": true,
  "is_correct": false,
  "errors_or_next_steps": "Missing return statement for total_distance",
  "hint_first_draft": "You've calculated everything correctly, but you forgot to tell the program what to give back at the end.",
  "reflection": "The hint should be clear but not too technical. While there might be other optimizations possible, the primary issue is the missing return statement.",
  "hint": "Your math looks good! But remember, when someone asks you to calculate something, you need to hand them back the final answer. üòâ"
}</t>
  </si>
  <si>
    <t>The hint indeed points out the missing step (returning the final answer), which aligns with the expected hint.</t>
  </si>
  <si>
    <t>It only suggests the single next step of returning the result, with no additional actions mentioned.</t>
  </si>
  <si>
    <t>{
    "thought": "The code is almost complete but missing a return statement. The logic appears correct with proper handling of route parsing and distance calculation, but it's not returning the total_distance value.",
    "is_complete": true,
    "is_correct": false,
    "errors_or_next_steps": "Missing return statement for total_distance",
    "hint_first_draft": "Your calculation looks good, but remember you need to send your result back after all the calculations are done!",
    "reflection": "The hint should be simple and focus on the core issue without using technical terms. The conversational tone helps make it more approachable.",
    "hint": "Hey! Your math looks good, but don't forget to send back your final answer at the end!"
}</t>
  </si>
  <si>
    <t>4.813233852386475</t>
  </si>
  <si>
    <t>The hint correctly reminds the user to return the result, matching the expected intention.</t>
  </si>
  <si>
    <t>It only provides one next step: returning the final answer.</t>
  </si>
  <si>
    <t>{
    "thought": "The solution is complete in terms of logic flow but incorrect as it's not returning the total_distance. The main issue is a missing return statement which is causing None to be returned instead of the calculated sum.",
    "is_complete": true,
    "is_correct": false,
    "errors_or_next_steps": "Missing return statement for total_distance",
    "hint_first_draft": "Your calculations look good, but you're forgetting to send back the final answer at the end of your function!",
    "reflection": "The hint is clear, concise, and avoids technical terms while pointing out the specific issue. It's friendly and maintains a teaching tone.",
    "hint": "Great work with the calculations! Don't forget to send back your final answer at the end of your function."
}</t>
  </si>
  <si>
    <t>4.096364974975586</t>
  </si>
  <si>
    <t>The hint aligns with the expected hint of returning the final value (total_distance).</t>
  </si>
  <si>
    <t>It only suggests the single action of returning the final result.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</si>
  <si>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loc_to_index = {loc: i for i, loc in enumerate(data["locations"])}
    total_distance = 0
    for route in data["routes"]:
        # Use map to strip whitespace and split the route string once
        stops = list(map(str.strip, route.split(":", 1)[1].split("-&gt;")))
        # Use zip to iterate through consecutive stops and sum their distances
        total_distance += sum(
            data["distances"][loc_to_index[a]][loc_to_index[b]]
            for a, b in zip(stops, stops[1:])
        )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</si>
  <si>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"thought_on_correctness": "The solution is incorrect as it fails the test case and returns None",
    "thought_on_completeness": "The solution is complete in terms of logic but missing the return statement",
    "thought_on_next_steps": "Add a return statement for total_distance",
    "thought_on_errors": "The function calculates the distance correctly but doesn't return the result",
    "hint_first_draft": "Your calculation looks good! Don't forget to let others see your final answer by returning it.",
    "reflection": "The hint is concise, conversational, and doesn't explicitly mention programming terms like 'return statement'. It focuses on the single most important fix needed.",
    "hint": "Great work on the calculations! Just make sure to share your final answer with the world."
}</t>
  </si>
  <si>
    <t>4.184750080108643</t>
  </si>
  <si>
    <t>The hint does not explicitly instruct returning the total distance, which is the expected final step.</t>
  </si>
  <si>
    <t>The hint only suggests one action: sharing the answer. It doesn't detail multiple steps.</t>
  </si>
  <si>
    <t>No Python code or snippet is provided.</t>
  </si>
  <si>
    <t>{
    "thought_on_correctness": "The solution is incorrect as it fails the test case and returns None instead of the expected numeric output",
    "thought_on_completeness": "The solution is almost complete but missing a critical return statement",
    "thought_on_next_steps": "The function needs to return the total_distance that was calculated",
    "thought_on_errors": "The function calculates the total_distance but doesn't return it, causing None to be returned by default",
    "hint_first_draft": "Your calculation looks good! Don't forget that after adding up all the distances, you need to tell the function what to give back as the answer.",
    "reflection": "The hint avoids technical terms, is conversational, and focuses on the single most important fix needed without giving away the exact solution",
    "hint": "Hey! Your math looks spot on, but you forgot to tell me what the final answer should be. What should your function give back after all the calculations?"
}</t>
  </si>
  <si>
    <t>4.810308218002319</t>
  </si>
  <si>
    <t>Both the given hint and the expected hint focus on returning the total distance, so the intention matches.</t>
  </si>
  <si>
    <t>The hint only suggests one next step: returning the final answer.</t>
  </si>
  <si>
    <t>{
    "thought_on_correctness": "The solution is incorrect as the test case failed and returned None",
    "thought_on_completeness": "The solution is complete in terms of logic but missing return statement",
    "thought_on_next_steps": "Add return statement for total_distance",
    "thought_on_errors": "Missing return statement which causes None output",
    "hint_first_draft": "Remember to return your final calculated value at the end of your function.",
    "reflection": "The hint is clear, concise, conversational, and points to the immediate issue without giving away the exact solution",
    "hint": "Don't forget to tell me what you've calculated! Just add one line at the end to share your result."
}</t>
  </si>
  <si>
    <t>The hint aligns with the expectation to finalize the solution by sharing or returning the computed total distance.</t>
  </si>
  <si>
    <t>It only instructs to add a single concluding step (one line to share the result).</t>
  </si>
  <si>
    <t>{
  "thought_on_correctness": "is solution correct based on the test case results",
  "thought_on_completeness": "is solution complete",
  "thought_on_next_steps": "if solution is incomplete, what is the likely next step",
  "thought_on_errors": "find any errors in the solution",
  "hint_first_draft": "Check if you are returning the total_distance after the calculations.",
  "reflection": "The solution is not producing any output, indicating an error in returning the result. The next step should focus on adding a return statement.",
  "hint": "Make sure to return the total distance at the end of your calculations."
}</t>
  </si>
  <si>
    <t>2.865954637527466</t>
  </si>
  <si>
    <t>The hint matches the expectation to return the total distance.</t>
  </si>
  <si>
    <t>It only gives one instruction: returning the total distance.</t>
  </si>
  <si>
    <t>It does not provide actual code or snippets.</t>
  </si>
  <si>
    <t>```json
{
  "thought_on_correctness": "is solution correct based on the test case results",
  "thought_on_completeness": "is solution complete",
  "thought_on_next_steps": "if solution is incomplete, what is the likely next step",
  "thought_on_errors": "find any errors in the solution",
  "hint_first_draft": "It looks like you're not returning any value from the function. Make sure to return total_distance at the end.",
  "reflection": "I confirmed the student's solution is incorrect as no output is returned, and it's incomplete. The next step would be to add a return statement for total_distance.",
  "hint": "Consider adding a return statement to give back the total distance calculated."
}
```</t>
  </si>
  <si>
    <t>2.6592628955841064</t>
  </si>
  <si>
    <t>Both the provided hint and the expected hint direct the user to add a return statement for the total distance, matching in intention.</t>
  </si>
  <si>
    <t>It only suggests one action (adding a return statement), without suggesting multiple steps.</t>
  </si>
  <si>
    <t>No actual Python code or snippets are provided, just a general instruction.</t>
  </si>
  <si>
    <t>```json
{
  "thought_on_correctness": "is solution correct based on the test case results",
  "thought_on_completeness": "is solution complete",
  "thought_on_next_steps": "if solution is incomplete, what is the likely next step",
  "thought_on_errors": "find any errors in the solution",
  "hint_first_draft": "Your function doesn't return the total distance calculated. Add a return statement at the end!",
  "reflection": "The solution is incomplete because it doesn't return a value. I focused on what aspect is preventing successful completion, aimed to guide the student towards fixing the absence of a return.",
  "hint": "Add a return statement to send back the total distance!"
}
```</t>
  </si>
  <si>
    <t>2.253148078918457</t>
  </si>
  <si>
    <t>The hint aligns exactly with the expected hint of returning total distance.</t>
  </si>
  <si>
    <t>It only suggests a single action: adding a return statement.</t>
  </si>
  <si>
    <t>It provides no explicit code snippet, just a textual instruction.</t>
  </si>
  <si>
    <t>```json
{
  "thought": "The solution is incorrect as the output is not matching with expected results in the test cases. The function does not return the calculated total distance, leading to an output of None.",
  "is_complete": true,
  "is_correct": false,
  "errors_or_next_steps": "The function lacks a return statement for the calculated total distance.",
  "hint": "Make sure your function outputs the total distance at the end of your calculations."
}
```</t>
  </si>
  <si>
    <t>1.7387969493865967</t>
  </si>
  <si>
    <t>The hint matches the intention of the expected hint by suggesting the function return the total distance.</t>
  </si>
  <si>
    <t>The hint recommends only one action: outputting (or returning) the total distance.</t>
  </si>
  <si>
    <t>```json
{
  "thought": "The solution is incorrect as the test cases did not pass. The implementation logic seems complete but the function does not return any value, causing it to return None implicitly.",
  "is_complete": true,
  "is_correct": false,
  "errors_or_next_steps": "Missing return statement.",
  "hint": "Ensure your function explicitly returns the calculated total distance."
}
```</t>
  </si>
  <si>
    <t>1.5080251693725586</t>
  </si>
  <si>
    <t>The hint directly matches the expected intention (return the total distance).</t>
  </si>
  <si>
    <t>It suggests only a single action (explicitly return the total distance).</t>
  </si>
  <si>
    <t>It doesn‚Äôt provide any Python code or code snippet.</t>
  </si>
  <si>
    <t>```json
{
  "thought": "The solution does not return any value, causing the test case to fail. This suggests a syntax error: the function lacks a return statement.",
  "is_complete": true,
  "is_correct": false,
  "errors_or_next_steps": "No return statement.",
  "hint": "Make sure your solution includes a statement to send back the calculated total."
}
```</t>
  </si>
  <si>
    <t>1.5318729877471924</t>
  </si>
  <si>
    <t>The hint aligns with the expected hint regarding returning the total distance.</t>
  </si>
  <si>
    <t>It only suggests one clear action: adding a statement to return the total.</t>
  </si>
  <si>
    <t>No specific Python code snippet is included in the hint.</t>
  </si>
  <si>
    <t>```json
{
  "thought": "The solution is incorrect because the actual output of 'None' is not matching with the expected output of '2171044'. The function does not return any value, causing it to return 'None' by default.",
  "is_complete": true,
  "is_correct": false,
  "errors_or_next_steps": "The function does not return any value, so it defaults to returning 'None'.",
  "hint_first_draft": "Make sure your function returns the calculated distance instead of None.",
  "reflection": "The main issue is that the function doesn't return any value. Pointing out the need for a return statement aligns with this as it directly fixes the problem.",
  "hint": "Ensure your function returns the total calculated distance."
}
```</t>
  </si>
  <si>
    <t>2.865314245223999</t>
  </si>
  <si>
    <t>The hint correctly advises returning the total distance, matching the expected hint's intention.</t>
  </si>
  <si>
    <t>It only suggests one action (returning the distance), not multiple next steps.</t>
  </si>
  <si>
    <t>No Python code snippet is provided in the hint.</t>
  </si>
  <si>
    <t>```json
{
  "thought": "The solution doesn't return any value, which is evident from the test case result showing 'None' as the output. This is a syntax error as the function should return the computed total distance.",
  "is_complete": true,
  "is_correct": false,
  "errors_or_next_steps": "The solution doesn't return the computed total distance.",
  "hint_first_draft": "Ensure the function returns the computed total distance to fix the current issue.",
  "reflection": "The solution almost solves the task but lacks a return statement, which prevents it from outputting the computed result. The hint guides the student to add the return statement for the total distance.",
  "hint": "Ensure the function returns the computed total distance to fix the current issue."
}
```</t>
  </si>
  <si>
    <t>2.663583993911743</t>
  </si>
  <si>
    <t>The hint matches the expected intention of returning the total distance at the end of the function.</t>
  </si>
  <si>
    <t>It provides only one next step: adding a return statement.</t>
  </si>
  <si>
    <t>```json
{
  "thought": "The test case output is `None`, indicating the solution does not return a value. The student's solution is incomplete because it's missing a return statement.",
  "is_complete": false,
  "is_correct": false,
  "errors_or_next_steps": "The function does not return the total distance.",
  "hint_first_draft": "Ensure your function returns the calculated total distance.",
  "reflection": "The hint addresses the main issue by suggesting the inclusion of the return statement. This small but crucial step can significantly affect the outcome of the function.",
  "hint": "Ensure your function returns the calculated total distance."
}
```</t>
  </si>
  <si>
    <t>2.1736109256744385</t>
  </si>
  <si>
    <t>The hint specifically directs returning the total distance, which matches the expected hint's intention.</t>
  </si>
  <si>
    <t>It only instructs one action: returning the total distance.</t>
  </si>
  <si>
    <t>It does not provide any Python code or snippet, just a high-level statement.</t>
  </si>
  <si>
    <t>```json
{
  "thought_on_correctness": "The solution is incorrect because the test case result did not match the expected output.",
  "thought_on_completeness": "The solution appears to be complete as it outlines the logic to calculate the total distance.",
  "thought_on_next_steps": "The likely next step would be to understand why the function doesn't return a value.",
  "thought_on_errors": "The main error is that the function does not return any value.",
  "hint_first_draft": "Ensure that your function explicitly returns the total distance at the end of its execution.",
  "reflection": "Considering the solution logic is in place, returning the result is crucial. The hint encourages addressing this oversight to move towards passing test cases.",
  "hint": "Ensure that your function explicitly returns the total distance at the end of its execution."
}
```</t>
  </si>
  <si>
    <t>2.679979085922241</t>
  </si>
  <si>
    <t>The hint aligns with the expected intention of returning the total distance at the end.</t>
  </si>
  <si>
    <t>It only suggests a single action: returning total_distance.</t>
  </si>
  <si>
    <t>No Python code snippets are provided in the hint.</t>
  </si>
  <si>
    <t>```json
{
  "thought_on_correctness": "The solution is incorrect based on the test case results.",
  "thought_on_completeness": "The solution is complete.",
  "thought_on_next_steps": "N/A",
  "thought_on_errors": "The solution doesn't return the total_distance, which is why the actual output is None.",
  "hint_first_draft": "Make sure to return the total distance after calculating it.",
  "reflection": "The solution logically collects and sums the distances but fails to return the result. Focusing the hint on ensuring a return value aligns with the task requirements.",
  "hint": "Make sure to return the total distance after calculating it."
}
```</t>
  </si>
  <si>
    <t>2.1470401287078857</t>
  </si>
  <si>
    <t>The hint explicitly tells to return the total distance, which matches the expected hint that mentions returning the final calculated distance.</t>
  </si>
  <si>
    <t>The hint mentions a single action: returning the total distance.</t>
  </si>
  <si>
    <t>The hint does not include any Python code snippet or reference to specific implementation details.</t>
  </si>
  <si>
    <t>```json
{
  "thought_on_correctness": "The solution is incorrect based on the test case results, as it does not provide the expected output.",
  "thought_on_completeness": "The solution is complete because it implements the full logic needed to solve the problem.",
  "thought_on_next_steps": "N/A",
  "thought_on_errors": "The solution does not return the final result, which is why the output is 'None'.",
  "hint_first_draft": "Ensure the function returns the total distance after calculating it.",
  "reflection": "The analysis is focused on identifying why the solution returned 'None'. We noticed that the function lacks a return statement, which is crucial here.",
  "hint": "Ensure the function returns the total distance after calculating it."
}
```</t>
  </si>
  <si>
    <t>3.659899950027466</t>
  </si>
  <si>
    <t>The hint correctly advises to return the total distance, which matches the expected hint's intention.</t>
  </si>
  <si>
    <t>It only suggests a single next step: returning the total distance.</t>
  </si>
  <si>
    <t>No Python code or code snippet is included in the hint.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</si>
  <si>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loc_to_index = {loc: i for i, loc in enumerate(data["locations"])}
    total_distance = 0
    for route in data["routes"]:
        # Use map to strip whitespace and split the route string once
        stops = list(map(str.strip, route.split(":", 1)[1].split("-&gt;")))
        # Use zip to iterate through consecutive stops and sum their distances
        total_distance += sum(
            data["distances"][loc_to_index[a]][loc_to_index[b]]
            for a, b in zip(stops, stops[1:])
        )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</si>
  <si>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{"hint": "It seems you're missing a return statement. Add one to output the total distance after your loop."}</t>
  </si>
  <si>
    <t>4.504838943481445</t>
  </si>
  <si>
    <t>Both the given hint and the expected hint direct you to add a return statement for the total distance, matching the intention.</t>
  </si>
  <si>
    <t>It only suggests adding one step (the return statement).</t>
  </si>
  <si>
    <t>No explicit Python code snippet is provided; it's just a directive to add a return statement.</t>
  </si>
  <si>
    <t>{"hint": "You're nearly there! Add a return statement to output the total distance at the end of your function."}</t>
  </si>
  <si>
    <t>4.310725927352905</t>
  </si>
  <si>
    <t>The hint aligns with the expected message of returning the total distance.</t>
  </si>
  <si>
    <t>It only suggests adding a single action: returning the total distance.</t>
  </si>
  <si>
    <t>No explicit Python code snippet is included.</t>
  </si>
  <si>
    <t>{"hint": "Your solution is missing a return. Add a return statement for the total distance after summing up the journey distances."}</t>
  </si>
  <si>
    <t>3.679206132888794</t>
  </si>
  <si>
    <t>The hint correctly identifies the missing step of returning the total distance, which matches the expected hint's intention.</t>
  </si>
  <si>
    <t>It only suggests a single step: adding a return statement.</t>
  </si>
  <si>
    <t>It does not include a code snippet, only an instruction to add a return statement.</t>
  </si>
  <si>
    <t>questions/busy_moon_rovers/3_incomplete.py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</si>
  <si>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location_indices = {}
    for i in range(len(data["locations"])):
        location_indices[data["locations"][i]] = i
    for route in data["routes"]:
        parts = route.split(":")
        journey = parts[1]
        stops_raw = journey.split("-&gt;")
        stops = []
        for stop in stops_raw:
            stops.append(stop.strip())
        i = 0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</si>
  <si>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solution is incomplete as it only processes the route data but doesn't calculate distances. Need to add logic for calculating distances between consecutive locations using the distance matrix.",
    "is_complete": false,
    "is_correct": false,
    "errors_or_next_steps": "Missing distance calculation between consecutive stops",
    "hint": "After getting your stops list, try calculating the distance between each pair of consecutive locations using your location indices and distance matrix."
}</t>
  </si>
  <si>
    <t>2.7638862133026123</t>
  </si>
  <si>
    <t>The hint aligns with the idea of iterating over stops (the expected hint) but it is more specific by adding the distance calculation step.</t>
  </si>
  <si>
    <t>It prescribes only one main action (calculate distances between consecutive stops).</t>
  </si>
  <si>
    <t>It does not include actual Python code or snippets, just a descriptive step.</t>
  </si>
  <si>
    <t>You need to iterate over the stops for each route</t>
  </si>
  <si>
    <t>{
    "thought": "The solution is incomplete as it only sets up the location indices and splits the routes but doesn't calculate distances. It needs to iterate through consecutive stops and sum up distances from the distance matrix.",
    "is_complete": false,
    "is_correct": false,
    "errors_or_next_steps": "Need to add logic to calculate distances between consecutive locations in each route using the location indices and distance matrix",
    "hint": "For each route, try adding up the distances between each pair of consecutive stops. You already have the stops list, now use it with your location indices!"
}</t>
  </si>
  <si>
    <t>3.3094661235809326</t>
  </si>
  <si>
    <t>The hint aligns with the expected hint of iterating over stops for each route and summing distances.</t>
  </si>
  <si>
    <t>It focuses on a single action: summing distances using the stops and indices.</t>
  </si>
  <si>
    <t>{
    "thought": "The solution is incomplete as it only sets up the location indices mapping and processes the route string into stops, but doesn't calculate distances. Next step should be to use consecutive stops to look up distances.",
    "is_complete": false,
    "is_correct": false,
    "errors_or_next_steps": "Missing distance calculation between consecutive stops in the route",
    "hint": "Now that you have the stops list, try adding up the distances between each pair of consecutive locations using your location_indices mapping."
}</t>
  </si>
  <si>
    <t>3.1818742752075195</t>
  </si>
  <si>
    <t>The hint aligns with the expected instruction to iterate over the stops (i.e., calculating distances between consecutive locations).</t>
  </si>
  <si>
    <t>It only suggests one action: summing the distances between consecutive stops.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</si>
  <si>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location_indices = {}
    for i in range(len(data["locations"])):
        location_indices[data["locations"][i]] = i
    for route in data["routes"]:
        parts = route.split(":")
        journey = parts[1]
        stops_raw = journey.split("-&gt;")
        stops = []
        for stop in stops_raw:
            stops.append(stop.strip())
        i = 0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</si>
  <si>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solution is incomplete. They've set up the data structure to map locations to indices and started parsing the routes, but haven't implemented the distance calculation logic. The next immediate step would be to calculate distances between consecutive stops.",
    "is_complete": false,
    "is_correct": false,
    "errors_or_next_steps": "Need to add logic to calculate distances between consecutive locations in each route",
    "hint_first_draft": "You've parsed the locations, but now you need to add up the distances. Try looking at each pair of consecutive stops in your route.",
    "reflection": "The hint should be more conversational and avoid technical terms. It should focus on the concept of adding distances between stops.",
    "hint": "Think about adding up the journey lengths! For each route, you'll need to look at each pair of places and add their distance to your total."
}</t>
  </si>
  <si>
    <t>4.506965637207031</t>
  </si>
  <si>
    <t>It aligns with the expected hint to iterate over the stops; it essentially instructs to iterate over each route and look at each pair of places.</t>
  </si>
  <si>
    <t>It provides a single main action: add the distances for each pair of places per route.</t>
  </si>
  <si>
    <t>No actual code or snippets are provided.</t>
  </si>
  <si>
    <t>{
    "thought": "Looking at the solution, I can see it's incomplete. The student has correctly parsed the locations and routes, but hasn't implemented the distance calculation part. They stopped at creating the stops list and haven't proceeded to calculate distances between consecutive stops.",
    "is_complete": false,
    "is_correct": false,
    "errors_or_next_steps": "Need to implement the distance calculation between consecutive locations in each route using the distances matrix.",
    "hint_first_draft": "You've got the stops parsed correctly, now try adding up the distances between each pair of consecutive locations in your stops list.",
    "reflection": "The hint should guide them to work with consecutive pairs without giving away the exact implementation. Should encourage them to think about how to use their existing stops list.",
    "hint": "Now that you have your stops list, think about how to add up the distances between each location and the next one in the sequence."
}</t>
  </si>
  <si>
    <t>4.707632064819336</t>
  </si>
  <si>
    <t>The given hint effectively advises iterating through the stops to sum the distances, matching the core intention of the expected hint.</t>
  </si>
  <si>
    <t>It suggests only a single action‚Äîadding up distances‚Äîrather than multiple steps.</t>
  </si>
  <si>
    <t>{
    "thought": "The solution is incomplete as it stops after splitting the route into stops. No actual distance calculation is done. The next step would be to start calculating distances between consecutive stops.",
    "is_complete": false,
    "is_correct": false,
    "errors_or_next_steps": "Need to calculate distances between consecutive locations in the route using the location indices and distances matrix",
    "hint_first_draft": "You've got the stops parsed correctly. Now, try looking up the distance between each pair of consecutive stops and add them to your total.",
    "reflection": "The hint should be more conversational and focus on the immediate next step without giving away technical details about arrays or matrices.",
    "hint": "Great job splitting the route! Now think about how you'd calculate the distance when moving from one stop to the next - kind of like adding up segments of a journey."
}</t>
  </si>
  <si>
    <t>4.506378889083862</t>
  </si>
  <si>
    <t>The hint aligns with the idea of iterating over the stops to compute distances, matching the expected hint's intention to iterate over stops for each route.</t>
  </si>
  <si>
    <t>It suggests a single next step (calculating distance by iterating through the stops), rather than multiple distinct steps.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</si>
  <si>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location_indices = {}
    for i in range(len(data["locations"])):
        location_indices[data["locations"][i]] = i
    for route in data["routes"]:
        parts = route.split(":")
        journey = parts[1]
        stops_raw = journey.split("-&gt;")
        stops = []
        for stop in stops_raw:
            stops.append(stop.strip())
        i = 0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</si>
  <si>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"thought_on_correctness": "The solution is incorrect as it fails the test case and returns None",
    "thought_on_completeness": "The solution is incomplete as it only processes the route data but doesn't calculate distances",
    "thought_on_next_steps": "After splitting and cleaning the route data, need to calculate distances between consecutive locations",
    "thought_on_errors": "The code stops after creating the stops list and doesn't calculate or sum the distances",
    "hint_first_draft": "You've got the locations parsed nicely! Now, for each stop in the route, try adding up the distance from one stop to the next using your distance matrix.",
    "reflection": "The hint focuses on the immediate next step without revealing exact implementation details, maintaining a conversational tone",
    "hint": "Great start with organizing the stops! Now think about how you'd calculate the distance when walking from one stop to the next in your journey."
}</t>
  </si>
  <si>
    <t>5.014479875564575</t>
  </si>
  <si>
    <t>The hint focuses on processing stops consecutively, which aligns with the intent to iterate over the stops.</t>
  </si>
  <si>
    <t>It suggests only one next step (calculating distance between consecutive stops).</t>
  </si>
  <si>
    <t>No Python code snippets or references are provided in the hint.</t>
  </si>
  <si>
    <t>{
    "thought_on_correctness": "Solution is incorrect as test case failed and returned None",
    "thought_on_completeness": "Solution is incomplete as it only processes routes into stops but doesn't calculate distances",
    "thought_on_next_steps": "Need to add logic to calculate distances between consecutive stops using the distance matrix",
    "thought_on_errors": "Code stops after creating stops list, missing calculation part",
    "hint_first_draft": "You've split the route into stops, now try adding up the distances between each pair of consecutive locations in your stops list.",
    "reflection": "Hint focuses on immediate next step without giving away solution, uses conversational tone, and avoids explicit programming terms",
    "hint": "Great job splitting the route! Now, for each stop, you'll need to add up the distance to reach the next location. Think about using your location indices for this."
}</t>
  </si>
  <si>
    <t>This hint aligns with the intention to iterate over each stop in a route and do further processing (in this case, summing distances).</t>
  </si>
  <si>
    <t>It suggests only one main action: add distances for each stop using location indices.</t>
  </si>
  <si>
    <t>No specific Python code or code snippet is provided, only a general suggestion.</t>
  </si>
  <si>
    <t>{
    "thought_on_correctness": "Solution is incorrect as it fails the test case and returns None",
    "thought_on_completeness": "Solution is incomplete as it stops after parsing the route stops",
    "thought_on_next_steps": "Need to calculate distances between consecutive stops in each route using the distances matrix",
    "thought_on_errors": "After parsing the route stops, the code doesn't process the consecutive locations to sum up distances",
    "hint_first_draft": "After getting your stops list, try looking at pairs of locations and add up their distances using your location indices",
    "reflection": "The hint helps identify the next step without explicit programming terms and focuses on the immediate action needed",
    "hint": "For each journey, try adding up the distances between each pair of consecutive stops. Your location_indices will help you find the right numbers!"
}</t>
  </si>
  <si>
    <t>4.504183053970337</t>
  </si>
  <si>
    <t>The hint essentially aligns with the idea of iterating over the stops (pairs of stops) to sum distances, matching the expected hint's intention.</t>
  </si>
  <si>
    <t>It suggests only a single action: summing distances between consecutive stops, referencing location_indices as part of that single step.</t>
  </si>
  <si>
    <t>No Python code or code snippet is provided; it remains a conceptual hint.</t>
  </si>
  <si>
    <t>{
  "thought_on_correctness": "is solution correct based on the test case results",
  "thought_on_completeness": "is solution complete",
  "thought_on_next_steps": "if solution is incomplete, what is the likely next step",
  "thought_on_errors": "find any errors in the solution",
  "hint_first_draft": "You need to compute and sum the distances for each route using the indices you've stored.",
  "reflection": "The solution is incomplete and not producing the expected output due to missing computations. I pointed out the next step to compute the total distance based on the given logic.",
  "hint": "You need to compute and sum the distances for each route based on the indices you've stored."
}</t>
  </si>
  <si>
    <t>2.4558682441711426</t>
  </si>
  <si>
    <t>The hint directs the user to compute the route distances using stored indices, which aligns with the idea of iterating over stops as the expected hint indicates.</t>
  </si>
  <si>
    <t>It only suggests one action‚Äîcomputing and summing distances‚Äîrather than multiple distinct steps.</t>
  </si>
  <si>
    <t>No specific Python code or snippets are provided, only a general instruction.</t>
  </si>
  <si>
    <t>{
  "thought_on_correctness": "is solution correct based on the test case results",
  "thought_on_completeness": "is solution complete",
  "thought_on_next_steps": "if solution is incomplete, what is the likely next step",
  "thought_on_errors": "find any errors in the solution",
  "hint_first_draft": "You're almost there! Ensure that you are calculating the distances between the stops in each rover's journey.",
  "reflection": "The solution is incomplete due to missing logic for distance calculation. The next logical step is to implement the distance accumulation part. The hint is focused on guiding the student to complete that part.",
  "hint": "You're on the right track! Add the logic to calculate the distances between the stops in each rover's journey."
}</t>
  </si>
  <si>
    <t>4.316817045211792</t>
  </si>
  <si>
    <t>The hint aligns with the intention to handle the stops (by calculating distances you naturally need to iterate).</t>
  </si>
  <si>
    <t>It proposes a single next step‚Äîadding distance calculation logic‚Äîrather than multiple steps.</t>
  </si>
  <si>
    <t>```json
{
  "thought_on_correctness": "is solution correct based on the test case results",
  "thought_on_completeness": "is solution complete",
  "thought_on_next_steps": "if solution is incomplete, what is the likely next step",
  "thought_on_errors": "find any errors in the solution",
  "hint_first_draft": "It seems you're not calculating the distances yet, consider how you can sum the distances for each route.",
  "reflection": "I assessed the test case results indicating the output is None, meaning the solution is not complete. The next step should involve implementing the distance calculation logic.",
  "hint": "You're missing the logic to sum distances for each journey. Make sure you include calculations for all stops."
}
```</t>
  </si>
  <si>
    <t>3.6866602897644043</t>
  </si>
  <si>
    <t>The hint focuses on summing distances across all stops, which aligns with the need to iterate over stops for each route.</t>
  </si>
  <si>
    <t>It suggests one main action (adding the calculation logic), rather than multiple distinct steps.</t>
  </si>
  <si>
    <t>No Python code or code snippets are included.</t>
  </si>
  <si>
    <t>```json
{
  "thought": "The student's solution did not produce the correct output since the actual output was 'None'. The solution is incomplete because the function doesn't return any value. The next step should be to ensure a value is returned from the function.",
  "is_complete": false,
  "is_correct": false,
  "errors_or_next_steps": "Ensure the function returns the total distance.",
  "hint": "Your function currently doesn't return a value. Make sure to return the total distance calculated at the end."
}
```</t>
  </si>
  <si>
    <t>2.455677032470703</t>
  </si>
  <si>
    <t>The provided hint addresses returning the total distance, which is different from the expected hint about iterating over stops.</t>
  </si>
  <si>
    <t>It only suggests one single action: returning the total distance.</t>
  </si>
  <si>
    <t>```json
{
  "thought": "The test case result indicates the student solution does not produce a valid output. The solution seems incomplete as it doesn't return a total distance or process routes completely.",
  "is_complete": false,
  "is_correct": false,
  "errors_or_next_steps": "The function does not calculate and return the total distance.",
  "hint": "Ensure your solution sums distances for each route and returns the total."
}
```</t>
  </si>
  <si>
    <t>1.8093068599700928</t>
  </si>
  <si>
    <t>The provided hint emphasizes summing distances, whereas the expected hint focuses on step-by-step iteration over stops, so they do not match in intention.</t>
  </si>
  <si>
    <t>It only suggests one action: sum and return the total.</t>
  </si>
  <si>
    <t>No code snippets or specific Python details are included.</t>
  </si>
  <si>
    <t>```json
{
  "thought": "The test result shows the solution is incorrect with actual output 'None'. The solution is incomplete because there's no calculation of distances or accumulation into total_distance. The immediate step is to navigate through stops and compute their corresponding distances.",
  "is_complete": false,
  "is_correct": false,
  "errors_or_next_steps": "The solution doesn't calculate or accumulate distances yet.",
  "hint": "Focus on calculating the distance between each pair of consecutive locations mentioned in the routes."
}
```</t>
  </si>
  <si>
    <t>2.2518320083618164</t>
  </si>
  <si>
    <t>Both the given and expected hints address the need to handle consecutive stops within each route, so they match in intention.</t>
  </si>
  <si>
    <t>It only suggests focusing on distance calculation between consecutive locations, which is a single next step.</t>
  </si>
  <si>
    <t>```json
{
  "thought": "Based on the test case results, the solution is incorrect because it returns 'None'. The code has not yet calculated or returned the total distance. It initializes variables and parses routes but lacks the logic to compute distances. The solution is incomplete.",
  "is_complete": false,
  "is_correct": false,
  "errors_or_next_steps": "Implement the logic to calculate the distances between consecutive locations.",
  "hint_first_draft": "It looks like you've parsed the routes, but you haven't calculated the distances yet. Try figuring out how to find the distance between each consecutive stop in the journey.",
  "reflection": "The goal is to help the student understand that they haven't finished the task by guiding them toward implementing the missing step of calculating the distances between stops.",
  "hint": "It looks like you've parsed the routes, but you haven't calculated the distances yet. Try figuring out how to find the distance between each consecutive stop in the journey."
}
```</t>
  </si>
  <si>
    <t>3.7765250205993652</t>
  </si>
  <si>
    <t>Both the given hint and the expected hint focus on handling the stops in each route, so they align in overall intention.</t>
  </si>
  <si>
    <t>It only suggests one next step: calculating the distance between consecutive stops.</t>
  </si>
  <si>
    <t>```json
{
  "thought": "The test case results show that the solution is not producing the expected output and is thus incorrect. The solution is incomplete because it lacks logic to calculate the distances. The next step should focus on computing the total distance from the stops.",
  "is_complete": false,
  "is_correct": false,
  "errors_or_next_steps": "Determine how to calculate the sum of distances between each stop in the routes.",
  "hint_first_draft": "Remember to calculate the total distance by summing distances between consecutive locations listed in each route.",
  "reflection": "The hint should encourage the student to implement the missing logic without revealing the exact steps. It should guide them to focus on iterating over the routes and summing up the distances.",
  "hint": "Remember to calculate the total distance by summing distances between consecutive locations listed in each route."
}
```</t>
  </si>
  <si>
    <t>3.9867749214172363</t>
  </si>
  <si>
    <t>The hint is consistent with the need to iterate over stops (since summing distances between consecutive locations implicitly involves iteration).</t>
  </si>
  <si>
    <t>The hint only mentions a single action: summing consecutive distances, without suggesting multiple steps.</t>
  </si>
  <si>
    <t>The hint provides no code snippets or Python-specific details, only conceptual guidance.</t>
  </si>
  <si>
    <t>```json
{
  "thought": "The solution is incorrect as no test cases passed. The student needs to compute the distances between consecutive locations but fails to complete this task. The implementation captures location indices correctly, so a logical continuation is required to advance the calculation of total distances.",
  "is_complete": false,
  "is_correct": false,
  "errors_or_next_steps": "Implement distance calculation between consecutive stops.",
  "hint_first_draft": "Try to sum the distances between consecutive stops in each route.",
  "reflection": "The task requires finishing the loop designed to calculate distances. The hint provides guidance toward completing the distance summation logic, which is the next crucial step.",
  "hint": "Try to sum the distances between consecutive stops in each route."
}
```</t>
  </si>
  <si>
    <t>2.7071800231933594</t>
  </si>
  <si>
    <t>The hint aligns with the idea of iterating over each route's stops (to then sum the distances).</t>
  </si>
  <si>
    <t>It suggests only one main step: summing distances between consecutive stops.</t>
  </si>
  <si>
    <t>```json
{
  "thought_on_correctness": "The solution is incorrect as it did not return the expected output for the test case.",
  "thought_on_completeness": "The solution is incomplete as it is missing the calculation and summation steps.",
  "thought_on_next_steps": "The likely next step is to iterate over consecutive stops to sum the distances.",
  "thought_on_errors": "The code currently stops short at initializing necessary components without completing the outlined task.",
  "hint_first_draft": "Try calculating distances between each pair of consecutive stops and accumulate these to find the total distance for all routes.",
  "reflection": "The solution is incomplete and requires implementing the distance calculation and summation logic. The hint focuses on guiding the student towards iterating over the stops and summing distances.",
  "hint": "Try calculating distances between each pair of consecutive stops and accumulate these to find the total distance for all routes."
}
```</t>
  </si>
  <si>
    <t>4.094560146331787</t>
  </si>
  <si>
    <t>The hint aligns with the expected instruction to iterate over stops and sum up the distances, matching the intended action.</t>
  </si>
  <si>
    <t>It primarily describes a single step (in one loop) of calculating and accumulating distances.</t>
  </si>
  <si>
    <t>```json
{
  "thought_on_correctness": "The solution is incorrect based on the test case results as it returns 'None' and doesn't pass any test cases.",
  "thought_on_completeness": "The solution is incomplete as it does not calculate or return the total distance traveled.",
  "thought_on_next_steps": "The likely next step is to calculate the total distance traveled by iterating through the stops in each rover's route and summing the distances.",
  "thought_on_errors": "The solution lacks the implementation to calculate and return the total distance.",
  "hint_first_draft": "You need to calculate the total distance for each route. Try iterating over the stops and summing the distances between consecutive locations.",
  "reflection": "I have analyzed that the solution needs to actually compute the total distance, which is currently missing. The hint should guide the student toward implementing that part.",
  "hint": "You need to calculate the total distance for each route. Try iterating over the stops and summing the distances between consecutive locations."
}
```</t>
  </si>
  <si>
    <t>3.481546401977539</t>
  </si>
  <si>
    <t>The hint aligns with the expected hint of iterating over the stops for each route, though it adds that you should also calculate total distance by summing between consecutive stops.</t>
  </si>
  <si>
    <t>It effectively suggests a single task (iterate and sum distances), which can be implemented in a small code block, so it doesn‚Äôt constitute multiple steps.</t>
  </si>
  <si>
    <t>```json
{
  "thought_on_correctness": "The solution is incorrect based on the test case results.",
  "thought_on_completeness": "The solution is incomplete.",
  "thought_on_next_steps": "The likely next step is to calculate distances between stops using their indices.",
  "thought_on_errors": "The student code is missing the logic to calculate and sum distances between stops.",
  "hint_first_draft": "Try accessing the distance between consecutive stops using indices from the matrix and summing them up.",
  "reflection": "The solution is incomplete as it lacks the distance calculation part, and the hint provides a clear next step without revealing too much detail.",
  "hint": "Try accessing the distance between consecutive stops using indices from the matrix and summing them up."
}
```</t>
  </si>
  <si>
    <t>3.2763328552246094</t>
  </si>
  <si>
    <t>The hint aligns with the need to iterate over the stops by focusing on accessing distances between consecutive stops and summing them up, which matches the intention of iterating over stops for each route.</t>
  </si>
  <si>
    <t>It essentially advises one singular action‚Äîcalculating and summing distances‚Äîrather than multiple separate steps.</t>
  </si>
  <si>
    <t>No direct Python code snippets or detailed code references are provided in the hint.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</si>
  <si>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location_indices = {}
    for i in range(len(data["locations"])):
        location_indices[data["locations"][i]] = i
    for route in data["routes"]:
        parts = route.split(":")
        journey = parts[1]
        stops_raw = journey.split("-&gt;")
        stops = []
        for stop in stops_raw:
            stops.append(stop.strip())
        i = 0
Test Case Results:
{'testCases': [{'actualOutput': 'None',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</si>
  <si>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{"hint": "Your solution stops before computing the distances. Try adding a step to iterate pairwise over the stops to sum the distances, then return the total."}</t>
  </si>
  <si>
    <t>5.3249170780181885</t>
  </si>
  <si>
    <t>It aligns with the core idea of iterating over the stops for each route to compute something (distances).</t>
  </si>
  <si>
    <t>The hint only suggests one additional step: iterate pairwise over stops to sum distances and return the result.</t>
  </si>
  <si>
    <t>It does not include any concrete code snippet, just a textual instruction.</t>
  </si>
  <si>
    <t>{
  "hint": "It seems the distance accumulation is missing. Try adding a loop that iterates over each consecutive pair of stops to compute and add the distance from your mapping."
}</t>
  </si>
  <si>
    <t>4.814291000366211</t>
  </si>
  <si>
    <t>Both hints focus on iterating over the stops for each route to accumulate distance.</t>
  </si>
  <si>
    <t>The hint describes a single action (adding a loop to compute and add distance) which can be done in under three lines of code.</t>
  </si>
  <si>
    <t>No actual Python code is provided, just a general instruction.</t>
  </si>
  <si>
    <t>{"hint": "Your solution is incomplete. You need to implement accumulating the distance between successive stops in each route."}</t>
  </si>
  <si>
    <t>3.274927854537964</t>
  </si>
  <si>
    <t>The hint aligns with the idea of iterating over stops for each route, as accumulating distance requires traversing those stops.</t>
  </si>
  <si>
    <t>It suggests a single step (accumulate distance) without indicating multiple broader actions.</t>
  </si>
  <si>
    <t>questions/busy_moon_rovers/1_logical.py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</si>
  <si>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loc_to_index = {loc: i for i, loc in enumerate(data["locations"])}
    for route in data["paths"]:
        route_path = route.split(":", 1)[1]
        stops = [stop.strip()
                 for stop in route_path.split("-&gt;") if stop.strip()]
        for i in range(len(stops) - 1):
            from_idx = loc_to_index[stops[i]]
            to_idx = loc_to_index[stops[i + 1]]
            total_distance += data["distances"][from_idx][to_idx]
    return total_distance
Test Case Results:
{'testCases': [{'actualOutput': '', 'passed': False, 'error': "'paths'",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</si>
  <si>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code is complete but has a key error. The student is trying to access 'paths' in the data dictionary but the correct key name in the input is 'routes'. This is a simple naming mismatch error.",
    "is_complete": true,
    "is_correct": false,
    "errors_or_next_steps": "Using incorrect dictionary key name 'paths' instead of 'routes'",
    "hint": "Double-check the name of the key you're using to access the rover routes in your data dictionary. The name seems to be different from what's in the input."
}</t>
  </si>
  <si>
    <t>4.0949318408966064</t>
  </si>
  <si>
    <t>The hint accurately points out that the key used ('paths') doesn't match what's expected in the input, aligning with the 'dictionary key error' intention.</t>
  </si>
  <si>
    <t>The hint suggests only one concrete step: to verify the key name in the dictionary.</t>
  </si>
  <si>
    <t>The hint does not provide any specific Python code or snippet illustrating the issue.</t>
  </si>
  <si>
    <t>Dictionary key error, there is no such key called paths in the input data</t>
  </si>
  <si>
    <t>{
    "thought": "The solution has a simple typo error. The student is trying to access 'paths' in data dictionary but the input key is actually named 'routes'. This is a straightforward fix.",
    "is_complete": true,
    "is_correct": false,
    "errors_or_next_steps": "Dictionary key name mismatch: using 'paths' instead of correct key name",
    "hint": "Double-check the name of the key you're using to access the rover paths in your data dictionary. It might not match what's in the input."
}</t>
  </si>
  <si>
    <t>3.379495859146118</t>
  </si>
  <si>
    <t>The hint correctly points out a likely dictionary key mismatch, which aligns with the expected hint about 'paths' not existing in the input data.</t>
  </si>
  <si>
    <t>The hint only suggests verifying the dictionary key, which is effectively one step.</t>
  </si>
  <si>
    <t>{
    "thought": "The solution has a syntax error where it's trying to access 'paths' in the data dictionary when the correct key is 'routes'. This is a straightforward error that needs to be fixed before we can assess any logical errors.",
    "is_complete": true,
    "is_correct": false,
    "errors_or_next_steps": "Using incorrect dictionary key 'paths' instead of 'routes'",
    "hint": "Double-check the name of the key you're using to access the rover paths. The input data uses a different name for this information."
}</t>
  </si>
  <si>
    <t>3.4433250427246094</t>
  </si>
  <si>
    <t>Both hint and expected hint point to a wrong dictionary key ('paths') not existing in the data.</t>
  </si>
  <si>
    <t>It calls for only one action: checking or renaming the dictionary key.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</si>
  <si>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loc_to_index = {loc: i for i, loc in enumerate(data["locations"])}
    for route in data["paths"]:
        route_path = route.split(":", 1)[1]
        stops = [stop.strip()
                 for stop in route_path.split("-&gt;") if stop.strip()]
        for i in range(len(stops) - 1):
            from_idx = loc_to_index[stops[i]]
            to_idx = loc_to_index[stops[i + 1]]
            total_distance += data["distances"][from_idx][to_idx]
    return total_distance
Test Case Results:
{'testCases': [{'actualOutput': '', 'passed': False, 'error': "'paths'",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</si>
  <si>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solution is complete but has a simple error. The student is trying to access 'paths' in the data dictionary when the key is actually called 'routes' according to the problem description.",
    "is_complete": true,
    "is_correct": false,
    "errors_or_next_steps": "Using incorrect dictionary key name 'paths' instead of 'routes'",
    "hint_first_draft": "Check the name of the key you're using to access the rover routes in the data dictionary. Is it matching what's given in the problem description?",
    "reflection": "The hint should be more conversational and less technical, while still pointing to the issue of the mismatched key name",
    "hint": "Look carefully at the input data structure. The rover journey information seems to be under a different name than what you're looking for!"
}</t>
  </si>
  <si>
    <t>4.298754930496216</t>
  </si>
  <si>
    <t>The hint indicates the code is looking under the wrong key in the dictionary, which aligns with the expected hint that 'paths' doesn't exist in the input data.</t>
  </si>
  <si>
    <t>It only suggests one action: verifying the correct key name in the input data. No additional steps are provided.</t>
  </si>
  <si>
    <t>{
    "thought": "Looking at the error message and code, the main issue is a simple key name mismatch. The student is trying to access 'paths' in the data dictionary, but the key is actually named 'routes'.",
    "is_complete": true,
    "is_correct": false,
    "errors_or_next_steps": "Dictionary key name mismatch",
    "hint_first_draft": "Check the key name you're using to access the route information. Are you using the same name as what's given in the input data?",
    "reflection": "The hint is clear and directs attention to the key issue without explicitly giving away the solution. It's concise and conversational.",
    "hint": "Looks like you're looking for something that isn't there! Double-check the name you're using to access the route information."
}</t>
  </si>
  <si>
    <t>4.494139194488525</t>
  </si>
  <si>
    <t>The hint advises re-checking the key used to access the route information, which aligns with the idea that there is no 'paths' key in the data.</t>
  </si>
  <si>
    <t>It suggests only one action: double-check the key name. No additional steps are mentioned.</t>
  </si>
  <si>
    <t>No code snippets are provided in the hint.</t>
  </si>
  <si>
    <t>{
    "thought": "Looking at the error message and code, I notice the student is trying to access 'paths' in data but the input object uses 'routes'. This is a simple key name mismatch that's causing the solution to fail.",
    "is_complete": true,
    "is_correct": false,
    "errors_or_next_steps": "Incorrect dictionary key name used ('paths' instead of 'routes')",
    "hint_first_draft": "Check the name of the key you're using to access the rover routes. Are you using the same name as what's given in the input data?",
    "reflection": "The hint is clear but not too revealing, guides them to look at the specific issue without giving away the answer directly",
    "hint": "Double-check the name you're using to access the rover paths. The input data might be using a different key name!"
}</t>
  </si>
  <si>
    <t>4.770721197128296</t>
  </si>
  <si>
    <t>The hint accurately points out the dictionary key issue, matching the expected hint's intention that 'paths' is not the correct key.</t>
  </si>
  <si>
    <t>It offers only a single action: checking the dictionary key name. There are no multiple next steps suggested.</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</si>
  <si>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loc_to_index = {loc: i for i, loc in enumerate(data["locations"])}
    for route in data["paths"]:
        route_path = route.split(":", 1)[1]
        stops = [stop.strip()
                 for stop in route_path.split("-&gt;") if stop.strip()]
        for i in range(len(stops) - 1):
            from_idx = loc_to_index[stops[i]]
            to_idx = loc_to_index[stops[i + 1]]
            total_distance += data["distances"][from_idx][to_idx]
    return total_distance
Test Case Results:
{'testCases': [{'actualOutput': '', 'passed': False, 'error': "'paths'",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</si>
  <si>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"thought_on_correctness": "Solution is incorrect as it fails the test case with a KeyError",
    "thought_on_completeness": "Solution is complete but contains an error",
    "thought_on_next_steps": "Not applicable as solution is complete",
    "thought_on_errors": "The code is trying to access 'paths' in data dictionary but the key is actually named 'routes'",
    "hint_first_draft": "Check the dictionary key you're using to access the rover routes. Are you using the correct key name?",
    "reflection": "The hint is concise, conversational, and points to the specific issue without giving away the solution directly",
    "hint": "Hey! Double-check what you're calling those rover journey descriptions in your code. I think you might be using the wrong name there!"
}</t>
  </si>
  <si>
    <t>4.570360898971558</t>
  </si>
  <si>
    <t>The hint points out that the dictionary key used in the code is likely incorrect, aligning with the expected message that there is no such key 'paths' in the input data.</t>
  </si>
  <si>
    <t>The hint only suggests one action: to double-check how the journey descriptions are named. It doesn't propose additional steps.</t>
  </si>
  <si>
    <t>{
    "thought_on_correctness": "Solution is incorrect based on test case failure",
    "thought_on_completeness": "Solution is complete but contains an error",
    "thought_on_next_steps": "Not applicable as solution is complete",
    "thought_on_errors": "The code is trying to access 'paths' in data dictionary but the actual key is 'routes'",
    "hint_first_draft": "Look carefully at the key names in your input data. One of them doesn't match what you're trying to access in your code.",
    "reflection": "The hint is concise, doesn't give away the solution, and directs student to examine key names without explicitly stating the error",
    "hint": "Double-check the names you're using to access the input data. One of them doesn't quite match!"
}</t>
  </si>
  <si>
    <t>4.814978122711182</t>
  </si>
  <si>
    <t>The hint and expected hint both point to a dictionary key mismatch (i.e., 'paths' not existing).</t>
  </si>
  <si>
    <t>It suggests only one action: to verify the exact dictionary key being used.</t>
  </si>
  <si>
    <t>The provided hint does not include any Python code or code snippets.</t>
  </si>
  <si>
    <t>{
    "thought_on_correctness": "Solution is incorrect based on test case failure",
    "thought_on_completeness": "Solution is complete but contains an error",
    "thought_on_next_steps": "N/A - solution is complete",
    "thought_on_errors": "The code is trying to access 'paths' in data dictionary but the key is actually named 'routes'",
    "hint_first_draft": "Look carefully at the dictionary key you're using to access the routes. Is it matching exactly with what's given in the input data?",
    "reflection": "The hint identifies the key issue without directly giving away the solution, and it's concise and conversational",
    "hint": "Double-check the name of the key you're using to access the rover routes. It might not match what's in the input data!"
}</t>
  </si>
  <si>
    <t>4.321897029876709</t>
  </si>
  <si>
    <t>Yes, the hint aligns with the expected message about the incorrect dictionary key 'paths'.</t>
  </si>
  <si>
    <t>It only provides a single action: to verify that the key used matches the actual data.</t>
  </si>
  <si>
    <t>{
  "thought_on_correctness": "is solution correct based on the test case results",
  "thought_on_completeness": "is solution complete",
  "thought_on_next_steps": "if solution is incomplete, what is the likely next step",
  "thought_on_errors": "find any errors in the solution",
  "hint_first_draft": "You have a typo in your loop, check if you're accessing the correct key for routes.",
  "reflection": "The solution is incorrect due to a key error in the routes access. This is a syntax issue, which should take precedence over logical errors. I've provided a hint focusing on fixing the key access.",
  "hint": "Check the key you're using to access the rover routes; it should be 'routes', not 'paths'."
}</t>
  </si>
  <si>
    <t>2.6710100173950195</t>
  </si>
  <si>
    <t>It accurately addresses that 'paths' should be 'routes', which matches the expected hint about the missing key.</t>
  </si>
  <si>
    <t>It only suggests changing the key from 'paths' to 'routes', which is a single action.</t>
  </si>
  <si>
    <t>No Python code or snippet is included in the hint.</t>
  </si>
  <si>
    <t>```json
{
  "thought_on_correctness": "is solution correct based on the test case results.",
  "thought_on_completeness": "is solution complete.",
  "thought_on_next_steps": "if solution is incomplete, what is the likely next step.",
  "thought_on_errors": "find any errors in the solution.",
  "hint_first_draft": "Check the key you're accessing; it should be 'routes', not 'paths'.",
  "reflection": "The provided solution is incomplete due to a key typo. The next step is to fix this in the loop. Focused on a single clear error assessment.",
  "hint": "Check the key you're using; it should be 'routes' instead of 'paths'."
}
```</t>
  </si>
  <si>
    <t>5.221097946166992</t>
  </si>
  <si>
    <t>The hint correctly points out the dictionary key mismatch which is the main issue described by the expected hint.</t>
  </si>
  <si>
    <t>It suggests only a single step: replace 'paths' with 'routes'.</t>
  </si>
  <si>
    <t>No specific code snippet is provided, just a textual suggestion.</t>
  </si>
  <si>
    <t>{
  "thought_on_correctness": "is solution correct based on the test case results",
  "thought_on_completeness": "is solution complete",
  "thought_on_next_steps": "if solution is incomplete, what is the likely next step",
  "thought_on_errors": "find any errors in the solution",
  "hint_first_draft": "Check your reference to the routes in the provided data; it should be routes, not paths.",
  "reflection": "The solution is incorrect due to a syntax error referencing the wrong key. It is also incomplete as it fails to handle the error properly. The critical next step is to use the correct key.",
  "hint": "Check your reference; it should be 'routes' instead of 'paths'."
}</t>
  </si>
  <si>
    <t>5.733695983886719</t>
  </si>
  <si>
    <t>The hint correctly identifies the key mismatch ('paths' vs. 'routes'), which aligns with the expected dictionary key error.</t>
  </si>
  <si>
    <t>The hint provides just one action: change 'paths' to 'routes'.</t>
  </si>
  <si>
    <t>It only mentions replacing the key name and does not include any code snippet.</t>
  </si>
  <si>
    <t>```json
{
  "thought": "The solution is incorrect as the test case failed due to a KeyError. The error arises from the use of the incorrect key 'paths' instead of 'routes', which causes the program to fail when accessing route data.",
  "is_complete": true,
  "is_correct": false,
  "errors_or_next_steps": "The issue comes from using 'paths' instead of the correct key 'routes'.",
  "hint": "Make sure the correct key name is used when accessing the routes information."
}
```</t>
  </si>
  <si>
    <t>2.017069101333618</t>
  </si>
  <si>
    <t>The hint aligns with the expected hint that 'paths' is not the correct key, indicating a dictionary key usage issue.</t>
  </si>
  <si>
    <t>It only suggests one action: using the correct dictionary key. There are no multiple steps.</t>
  </si>
  <si>
    <t>```json
{
  "thought": "The test case shows a syntax error due to the incorrect key 'paths' instead of 'routes'. The solution is complete but incorrect because of this error.",
  "is_complete": true,
  "is_correct": false,
  "errors_or_next_steps": "There is a syntax error using 'paths' instead of 'routes'.",
  "hint": "Check the key name used for accessing routes; it should match the given data structure."
}
```</t>
  </si>
  <si>
    <t>3.4823999404907227</t>
  </si>
  <si>
    <t>The hint accurately warns about a potential mismatch between the key name ('paths') in the code and what the data structure might actually contain, aligning with the expected hint regarding a dictionary key error.</t>
  </si>
  <si>
    <t>It only suggests one next step‚Äîverifying or correcting the dictionary key used in the code.</t>
  </si>
  <si>
    <t>```json
{
  "thought": "The solution failed because the student incorrectly referenced 'data[\"paths\"]' instead of 'data[\"routes\"]', causing a key error.",
  "is_complete": true,
  "is_correct": false,
  "errors_or_next_steps": "Key error due to incorrect reference.",
  "hint": "Check the key you are using to access the list of routes."
}
```</t>
  </si>
  <si>
    <t>8.789877891540527</t>
  </si>
  <si>
    <t>Both the provided hint and the expected hint focus on the incorrect dictionary key (specifically 'paths') being used to access the list of routes.</t>
  </si>
  <si>
    <t>It suggests only one specific action‚Äîchecking the key used to access the list of routes‚Äîrather than multiple actions.</t>
  </si>
  <si>
    <t>```json
{
  "thought": "The student's solution is incorrect due to the test case result failure. The error message indicates a KeyError related to 'paths' which suggests a syntax issue with accessing the data. The student's use of 'paths' instead of 'routes' is the primary issue.",
  "is_complete": true,
  "is_correct": false,
  "errors_or_next_steps": "'paths' should be corrected to 'routes'.",
  "hint_first_draft": "Check your key names when accessing the data; ensure all key names match those in the input.",
  "reflection": "The logical error was correctly identified as a syntax error with key access. The hint focuses on ensuring students check their key names, which should resolve this issue.",
  "hint": "Check your key names when accessing the data; ensure all key names match those in the input."
}
```</t>
  </si>
  <si>
    <t>3.381164073944092</t>
  </si>
  <si>
    <t>Both the given hint and the expected hint point to a dictionary key mismatch (in particular, 'paths' not existing). Though less specific, the given hint still addresses a key name issue.</t>
  </si>
  <si>
    <t>The hint only suggests checking the key names as a single action, rather than multiple distinct next steps.</t>
  </si>
  <si>
    <t>The hint does not provide or reference any Python code snippets.</t>
  </si>
  <si>
    <t>```json
{
  "thought": "The test case results indicate an error due to a KeyError for 'paths', suggesting the student referenced the wrong key in the data dictionary.",
  "is_complete": true,
  "is_correct": false,
  "errors_or_next_steps": "KeyError due to referencing 'paths' instead of 'routes'.",
  "hint_first_draft": "Check the dictionary keys used in the loop; ensure you're using the correct key from the input data.",
  "reflection": "The hint effectively directs attention to the dictionary key error, which is the primary issue causing the function to fail.",
  "hint": "Check the dictionary keys used in the loop; ensure you're using the correct key from the input data."
}
```</t>
  </si>
  <si>
    <t>2.9801342487335205</t>
  </si>
  <si>
    <t>The hint aligns with the expected hint about an incorrect dictionary key, indicating a problem with 'paths' in the input data.</t>
  </si>
  <si>
    <t>It only provides a single action (checking the key) rather than multiple next steps.</t>
  </si>
  <si>
    <t>```json
{
  "thought": "The solution is incorrect as the test fails with a 'paths' key error. This suggests the student mistakenly used 'paths' instead of 'routes'. The solution appears complete but has a critical syntax error of accessing the wrong key in the dictionary.",
  "is_complete": true,
  "is_correct": false,
  "errors_or_next_steps": "Using 'paths' instead of the correct 'routes' key.",
  "hint_first_draft": "Check you are accessing the correct key for reading the journey paths.",
  "reflection": "Identifying the 'paths' key error was key. The hint suggests verifying key access, encouraging the student to check the dictionary usage for correctness.",
  "hint": "Check you are accessing the correct key for reading the journey paths."
}
```</t>
  </si>
  <si>
    <t>3.5836710929870605</t>
  </si>
  <si>
    <t>Both the given and expected hints point to using the correct dictionary key for journey paths.</t>
  </si>
  <si>
    <t>It only suggests a single action‚Äîto verify the dictionary key.</t>
  </si>
  <si>
    <t>No Python code snippets or detailed instructions are provided.</t>
  </si>
  <si>
    <t>```json
{
  "thought_on_correctness": "The solution is incorrect based on the test case results.",
  "thought_on_completeness": "The solution is complete.",
  "thought_on_next_steps": "N/A",
  "thought_on_errors": "The error in the solution is a syntax error, using 'paths' instead of 'routes'.",
  "hint_first_draft": "Check the variable name used for accessing the routes; ensure it matches the key in the data dictionary.",
  "reflection": "In reviewing the student's solution, it appears the main issue is a syntax error due to using an incorrect key when accessing the routes. Focusing on this error addresses the primary reason for the failure.",
  "hint": "Check the variable name used for accessing the routes; ensure it matches the key in the data dictionary."
}
```</t>
  </si>
  <si>
    <t>2.865872859954834</t>
  </si>
  <si>
    <t>The hint aligns with the expected hint's intention to check the dictionary key for the routes, indicating a possible mismatch in key names.</t>
  </si>
  <si>
    <t>The hint only suggests one specific action: verifying that the dictionary key used to access the routes matches the actual key in the data.</t>
  </si>
  <si>
    <t>```json
{
  "thought_on_correctness": "The solution is incorrect based on the test case results.",
  "thought_on_completeness": "The solution appears complete",
  "thought_on_next_steps": "N/A",
  "thought_on_errors": "There is a syntax error due to the use of 'paths' instead of 'routes'.",
  "hint_first_draft": "Check the key used for iterating routes in your input data.",
  "reflection": "Upon reflection, the provided hint addresses the syntax error in the student's solution. The mistake in using a non-existent key is a common issue needing correction for the overall logic to function.",
  "hint": "Check the key used for iterating routes in your input data."
}
```</t>
  </si>
  <si>
    <t>2.968604803085327</t>
  </si>
  <si>
    <t>The hint about checking the key aligns with the expected hint that the key 'paths' doesn't exist.</t>
  </si>
  <si>
    <t>Only a single action (checking the key) is suggested.</t>
  </si>
  <si>
    <t>```json
{
  "thought_on_correctness": "The solution is incorrect based on the test case results.",
  "thought_on_completeness": "The solution is complete.",
  "thought_on_next_steps": "N/A",
  "thought_on_errors": "There is a syntax error in accessing the routes. The key 'paths' should be 'routes'.",
  "hint_first_draft": "Check if you are accessing the correct key for the route data in the input.",
  "reflection": "Identifying that the student's access to the incorrect key caused the error helps direct the hint towards fixing this specific issue. The solution is otherwise complete.",
  "hint": "Check if you're accessing the correct key for the route data in the input."
}
```</t>
  </si>
  <si>
    <t>2.5844459533691406</t>
  </si>
  <si>
    <t>The hint aligns with the expected emphasis on a dictionary key issue (i.e., 'paths' may not exist).</t>
  </si>
  <si>
    <t>It only suggests one action: checking for the correct dictionary key.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</si>
  <si>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loc_to_index = {loc: i for i, loc in enumerate(data["locations"])}
    for route in data["paths"]:
        route_path = route.split(":", 1)[1]
        stops = [stop.strip()
                 for stop in route_path.split("-&gt;") if stop.strip()]
        for i in range(len(stops) - 1):
            from_idx = loc_to_index[stops[i]]
            to_idx = loc_to_index[stops[i + 1]]
            total_distance += data["distances"][from_idx][to_idx]
    return total_distance
Test Case Results:
{'testCases': [{'actualOutput': '', 'passed': False, 'error': "'paths'",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</si>
  <si>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{"hint": "It seems you're using 'paths' instead of 'routes'. Adjust the key to match the data input."}</t>
  </si>
  <si>
    <t>4.3922202587127686</t>
  </si>
  <si>
    <t>The hint directly addresses the incorrect use of 'paths' instead of 'routes', matching the expected message about a dictionary key error.</t>
  </si>
  <si>
    <t>The hint only suggests a single step: adjusting the key from 'paths' to the correct one, which is a single action.</t>
  </si>
  <si>
    <t>{
  "hint": "You're iterating using the wrong key; the data uses a different key for routes. Adjust that to access the correct route list."
}</t>
  </si>
  <si>
    <t>3.6860930919647217</t>
  </si>
  <si>
    <t>The hint aligns with the expected hint that 'paths' is the wrong key, indicating a dictionary key error for the route list.</t>
  </si>
  <si>
    <t>It suggests only a single action: replace the incorrect key with the correct one.</t>
  </si>
  <si>
    <t>No Python code or snippet is given, just a note about using the right key.</t>
  </si>
  <si>
    <t>{
  "hint": "It seems you're referencing a wrong key when iterating over routes. Check your dictionary keys and use the one that actually holds the routes."
}</t>
  </si>
  <si>
    <t>4.573543071746826</t>
  </si>
  <si>
    <t>The hint accurately points out a wrong dictionary key, matching the expected hint's intention.</t>
  </si>
  <si>
    <t>It only suggests a single corrective action (checking and fixing the dictionary key).</t>
  </si>
  <si>
    <t>questions/busy_moon_rovers/2_logical.py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</si>
  <si>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return 57890
Test Case Results:
{'testCases': [{'actualOutput': '57890',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</si>
  <si>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student's solution is just returning a hardcoded number without any calculation. They need to parse the routes and calculate distances between consecutive locations using the distance matrix.",
    "is_complete": false,
    "is_correct": false,
    "errors_or_next_steps": "Solution needs to parse the route strings and break them into individual locations first",
    "hint": "Try splitting each route string to get the sequence of locations first. Look at how the route string format is structured after 'route:' part."
}</t>
  </si>
  <si>
    <t>3.0728399753570557</t>
  </si>
  <si>
    <t>The hint guides towards processing the input data by splitting the route string, which aligns with the intention of not just returning a hardcoded value.</t>
  </si>
  <si>
    <t>It really suggests a single core step: splitting and examining the 'route:' part. It does not outline multiple distinct actions.</t>
  </si>
  <si>
    <t>No specific code or snippet is provided; it only gives a general approach without Python-specific syntax.</t>
  </si>
  <si>
    <t>You seem to be returning a hardcoded value, try processing the input data</t>
  </si>
  <si>
    <t>{
    "thought": "The solution is complete but incorrect. The student has just returned a hardcoded number (57890) instead of actually calculating the total distance based on the routes and distance matrix. They need to parse the routes and use the distance matrix.",
    "is_complete": true,
    "is_correct": false,
    "errors_or_next_steps": "Hardcoded return value instead of calculating actual distances",
    "hint": "Instead of returning a fixed number, try breaking down each rover's route into pairs of consecutive locations and sum up their distances."
}</t>
  </si>
  <si>
    <t>2.9673280715942383</t>
  </si>
  <si>
    <t>The hint aligns with the expected message to avoid returning a hardcoded number and instead process the input data.</t>
  </si>
  <si>
    <t>The hint suggests one main action: summing distances of consecutive locations.</t>
  </si>
  <si>
    <t>{
    "thought": "The solution is complete but incorrect. The student has hardcoded a value (57890) instead of calculating the actual distances from the routes and distance matrix. They need to parse the routes and sum up the distances between consecutive locations.",
    "is_complete": true,
    "is_correct": false,
    "errors_or_next_steps": "Hardcoded return value instead of calculating actual distances",
    "hint": "Instead of returning a fixed number, try breaking down each route into pairs of consecutive locations and adding up their distances using the distance matrix."
}</t>
  </si>
  <si>
    <t>3.6069228649139404</t>
  </si>
  <si>
    <t>The hint clearly instructs processing the route instead of returning a hardcoded number, which aligns with the expected hint to process the input data.</t>
  </si>
  <si>
    <t>It suggests two steps: breaking the route into pairs and summing their distances, which is more than a single action.</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</si>
  <si>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return 57890
Test Case Results:
{'testCases': [{'actualOutput': '57890',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</si>
  <si>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student has only provided a hardcoded return value without any actual implementation. They need to start by parsing the routes and calculating distances between consecutive locations using the distances matrix.",
    "is_complete": false,
    "is_correct": false,
    "errors_or_next_steps": "Need to implement route parsing and distance calculation logic",
    "hint_first_draft": "Start by splitting each route string to get the sequence of locations, then look up distances between consecutive locations in the distances matrix.",
    "reflection": "The hint should be more focused on the first step only, which is parsing the routes. Matrix lookup can come later.",
    "hint": "First, try extracting just the location names from one route string. For example, from 'Rover 1 route: base -&gt; A -&gt; base', you need ['base', 'A', 'base']."
}</t>
  </si>
  <si>
    <t>The hint directs the user to work with the input data (by extracting route information), which aligns with the goal of not returning a hardcoded value.</t>
  </si>
  <si>
    <t>The hint only describes extracting location names from the route; it suggests a single next step rather than multiple actions.</t>
  </si>
  <si>
    <t>The hint gives an example but does not include Python code or snippets.</t>
  </si>
  <si>
    <t>{
    "thought": "The student's solution is a hardcoded return value without any actual calculation. They need to implement logic to parse routes and calculate distances between consecutive locations using the distance matrix.",
    "is_complete": false,
    "is_correct": false,
    "errors_or_next_steps": "Solution needs to first split the route strings to extract location sequences for each rover.",
    "hint_first_draft": "Let's start by breaking down each rover's route into a sequence of locations. Try splitting the route strings to get just the location names.",
    "reflection": "The hint focuses on the first step needed without overwhelming the student. It guides them toward parsing the input without giving away the full solution.",
    "hint": "First, extract just the location names from each rover's route. For example, from 'Rover 1 route: base -&gt; A -&gt; base', you need ['base', 'A', 'base']."
}</t>
  </si>
  <si>
    <t>4.425558090209961</t>
  </si>
  <si>
    <t>The hint aligns with the expected hint‚Äôs intention to process the input data rather than returning a hardcoded value. Extracting the route names is a step toward processing.</t>
  </si>
  <si>
    <t>The hint outlines just one action: extracting the location names.</t>
  </si>
  <si>
    <t>No specific Python code or method calls (e.g., split) are provided; only an example list is shown.</t>
  </si>
  <si>
    <t>{
    "thought": "The student has only provided a hardcoded return value without implementing any logic. The solution needs to parse routes, find corresponding distances from the matrix, and sum them up.",
    "is_complete": false,
    "is_correct": false,
    "errors_or_next_steps": "Need to implement route parsing and distance calculation",
    "hint_first_draft": "Try breaking the route strings into pairs of consecutive locations so you can find the distance between them.",
    "reflection": "The hint should guide them to start with parsing the routes, which is the first logical step without giving away too much implementation detail.",
    "hint": "Start by splitting each route into individual locations. For 'base -&gt; A -&gt; base', you'll need to find distances between base-A and A-base."
}</t>
  </si>
  <si>
    <t>4.199223756790161</t>
  </si>
  <si>
    <t>The hint is aligned with the idea of processing the input data, rather than returning a hardcoded value, which matches the intention of the expected hint.</t>
  </si>
  <si>
    <t>It suggests splitting the route into parts and computing distances, which are multiple actions.</t>
  </si>
  <si>
    <t>No specific Python code or snippets are provided, only general instructions.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</si>
  <si>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return 57890
Test Case Results:
{'testCases': [{'actualOutput': '57890',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</si>
  <si>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"thought_on_correctness": "The solution is incorrect as it returns a hardcoded value (57890) which does not match the expected output (2171044).",
    "thought_on_completeness": "The solution is incomplete as it doesn't process the input data at all.",
    "thought_on_next_steps": "Need to parse the routes string and calculate distances between consecutive locations using the distances matrix.",
    "thought_on_errors": "The solution doesn't attempt to solve the problem, just returns a hardcoded number.",
    "hint_first_draft": "Start by breaking down each route into separate locations. For example, 'base -&gt; A -&gt; base' should become ['base', 'A', 'base'].",
    "reflection": "The hint focuses on the first logical step needed without giving away too much, encourages breaking down the problem into smaller parts.",
    "hint": "Let's start by splitting each route into a list of locations. Look at how you can extract just the location names from a route string."
}</t>
  </si>
  <si>
    <t>4.613624811172485</t>
  </si>
  <si>
    <t>The hint aligns with the idea of processing the input data rather than returning a hardcoded value.</t>
  </si>
  <si>
    <t>It suggests at least two steps: splitting routes and extracting location names.</t>
  </si>
  <si>
    <t>{
    "thought_on_correctness": "Solution is incorrect as test case result shows failure with expected output 2171044 but got 57890",
    "thought_on_completeness": "Solution is incomplete as it only returns a hardcoded value without any calculation logic",
    "thought_on_next_steps": "Need to parse the routes and calculate distances between consecutive locations using the distances matrix",
    "thought_on_errors": "No implementation logic present, just returning a hardcoded number",
    "hint_first_draft": "You'll need to break down each rover's route into pairs of consecutive locations and look up their distances in the distances matrix.",
    "reflection": "Hint focuses on immediate next step without giving away specific implementation details, maintains conversational tone, and stays under 50 words",
    "hint": "Let's start by breaking down one rover's route into steps. For example, in 'base -&gt; A -&gt; base', you need to find the distance from base to A, then from A to base."
}</t>
  </si>
  <si>
    <t>4.813548803329468</t>
  </si>
  <si>
    <t>The given hint aligns with the overall intention of encouraging the user to work with the input data (the route) rather than returning a hardcoded value.</t>
  </si>
  <si>
    <t>It suggests breaking down the route, then finding each segment's distance‚Äîthese are multiple actions rather than a single step.</t>
  </si>
  <si>
    <t>{
    "thought_on_correctness": "Solution is incorrect as the test case failed, showing a hardcoded return value of 57890 instead of the expected 2171044",
    "thought_on_completeness": "Solution is incomplete, only returning a hardcoded value without any calculation logic",
    "thought_on_next_steps": "Need to implement logic to parse routes and calculate distances between consecutive locations",
    "thought_on_errors": "Current solution doesn't process the input data at all, just returns a fixed number",
    "hint_first_draft": "Look at each route and break it down into pairs of consecutive locations. For each pair, find their distance in the distances matrix.",
    "reflection": "Hint should be more specific about the first step without giving away the solution. Focus on route parsing first.",
    "hint": "Start by splitting one route string to get just the location names, removing 'Rover X route:' and the arrows. Try this for just one route first."
}</t>
  </si>
  <si>
    <t>4.606837034225464</t>
  </si>
  <si>
    <t>The hint aligns with the intended advice of processing the input data by parsing it rather than returning a hardcoded value.</t>
  </si>
  <si>
    <t>The hint suggests multiple actions: splitting the string, removing specific text, and applying this process to just one route first.</t>
  </si>
  <si>
    <t>No explicit Python code or code snippet (like a function call or method) is provided.</t>
  </si>
  <si>
    <t>{
  "thought_on_correctness": "The solution is incorrect based on the test case results.",
  "thought_on_completeness": "The solution is complete.",
  "thought_on_next_steps": "The immediate next step is to calculate the total distance based on the locations and routes correctly.",
  "thought_on_errors": "The returned distance does not reflect the calculation for the given routes.",
  "hint_first_draft": "Check how you calculate the distances for each rover's route using the locations and distances provided.",
  "reflection": "I assessed the correctness of the solution based on the test case results, concluded it was incorrect, and identified it as complete while focusing on the immediate action of calculating distances correctly.",
  "hint": "Check how you calculate the distances for each rover's route using the locations and distances provided."
}</t>
  </si>
  <si>
    <t>3.3791890144348145</t>
  </si>
  <si>
    <t>Although it doesn‚Äôt explicitly mention the hardcoded return, the hint does direct the user to utilize the input data for distance calculations, aligning with the expected hint‚Äôs intention to process data rather than return a fixed value.</t>
  </si>
  <si>
    <t>It only points to verifying distance calculations, which is essentially one next step.</t>
  </si>
  <si>
    <t>```json
{
  "thought_on_correctness": "is solution correct based on the test case results",
  "thought_on_completeness": "is solution complete",
  "thought_on_next_steps": "if solution is incomplete, what is the likely next step",
  "thought_on_errors": "find any errors in the solution",
  "hint_first_draft": "Your output is way off! Start by examining how you're calculating the distances between locations.",
  "reflection": "The solution is incorrect and offers a nonsensical output. The immediate next step for the student is to revisit the logic for calculating distances based on routes.",
  "hint": "Your output is way off! Start by examining how you're calculating the distances between locations."
}
```</t>
  </si>
  <si>
    <t>3.175579786300659</t>
  </si>
  <si>
    <t>The expected hint focuses on noticing the hardcoded return value and processing the input, while the provided hint focuses on examining distance calculations, which doesn't align with the original intention.</t>
  </si>
  <si>
    <t>It suggests only one high-level action (examine distance calculations) without referencing other steps or details.</t>
  </si>
  <si>
    <t>{
  "thought_on_correctness": "The solution is incorrect based on the test case results.",
  "thought_on_completeness": "The solution is incomplete.",
  "thought_on_next_steps": "The likely next step is to calculate the total distance based on the provided routes and distances.",
  "thought_on_errors": "",
  "hint_first_draft": "Try calculating the distance by summing up the distances for each segment of the routes.",
  "reflection": "The solution failed the test case, indicating a significant logical gap in addressing the problem requirements. I focused on encouraging an immediate step towards the core calculation needed.",
  "hint": "Try calculating the total distance for each rover's route using the distances provided."
}</t>
  </si>
  <si>
    <t>It aligns with the expected hint by encouraging the user to process input data instead of returning a hardcoded value.</t>
  </si>
  <si>
    <t>The hint suggests only one next step: to calculate the total distance, without detailing multiple actions.</t>
  </si>
  <si>
    <t>```json
{
  "thought": "The student's solution is incorrect based on the test case results. The solution seems complete, as a return statement is present. A syntax error is not apparent, but the logical error is that the function returns the same number, unrelated to input, indicating an absence of calculation logic.",
  "is_complete": true,
  "is_correct": false,
  "errors_or_next_steps": "The function returns a fixed number without considering input data.",
  "hint": "Check how the solution processes the input data. There's a missing calculation step."
}
```</t>
  </si>
  <si>
    <t>3.4769701957702637</t>
  </si>
  <si>
    <t>The hint aligns with the expected hint by indicating that the input data is not being processed and a step is missing.</t>
  </si>
  <si>
    <t>It suggests only one general action: checking how input data is processed and adding the missing calculation.</t>
  </si>
  <si>
    <t>```json
{
  "thought": "The solution is incorrect because the test case actual output doesn't match the expected output. The solution is incomplete as it returns a constant value without processing the input data. The next step is to parse and calculate based on the given routes.",
  "is_complete": false,
  "is_correct": false,
  "errors_or_next_steps": "The function currently returns a constant value without using input data.",
  "hint": "Focus on calculating total distances; start by analyzing data from routes and distances."
}
```</t>
  </si>
  <si>
    <t>2.559615135192871</t>
  </si>
  <si>
    <t>The hint encourages analyzing the input data to calculate distances, aligning with the intention to move away from a hardcoded return value and actually process data.</t>
  </si>
  <si>
    <t>The hint provides a single overall approach (focusing on distance calculation through data analysis), rather than multiple distinct next steps.</t>
  </si>
  <si>
    <t>```json
{
  "thought": "The solution returns a fixed number '57890', which doesn't change with the input, leading to incorrect results. It appears incomplete as the logic doesn't address the task requirements, which involve summing distances based on provided routes.",
  "is_complete": false,
  "is_correct": false,
  "errors_or_next_steps": "The solution is incomplete and doesn't utilize the input data to calculate distances.",
  "hint": "Focus on parsing each route and summing the distances between consecutive locations."
}
```</t>
  </si>
  <si>
    <t>2.0205891132354736</t>
  </si>
  <si>
    <t>The hint addresses the need to move away from a hardcoded return value by processing the input data, which matches the intention of the expected hint.</t>
  </si>
  <si>
    <t>It suggests two steps: parsing each route and then summing distances, indicating more than a single immediate action.</t>
  </si>
  <si>
    <t>```json
{
  "thought": "The solution is incorrect since none of the test cases passed. The function returns a constant value, '57890', which doesn't depend on the input data. This indicates an incomplete solution because the logic to calculate the distance is missing. The next step involves deriving distances from routes using the provided matrix.",
  "is_complete": false,
  "is_correct": false,
  "errors_or_next_steps": "Implement logic to parse routes and calculate distances.",
  "hint_first_draft": "Make sure to parse the routes and calculate distances using the matrix.",
  "reflection": "The initial hint focuses on guiding the student to use the provided data. The process of parsing and calculating distances is fundamental and direct for addressing the problem. This provides a clear, actionable step.",
  "hint": "Make sure to parse the routes and calculate distances using the matrix."
}
```</t>
  </si>
  <si>
    <t>3.8894503116607666</t>
  </si>
  <si>
    <t>The hint aligns with the idea of moving away from returning a hardcoded value and actually processing the input data, which matches the expected hint.</t>
  </si>
  <si>
    <t>It suggests at least two steps: parsing the routes and calculating distances, which are distinct actions.</t>
  </si>
  <si>
    <t>No specific Python code or snippets are provided in this hint.</t>
  </si>
  <si>
    <t>```json
{
  "thought": "The test case result shows that the actual output does not match the expected output, indicating the solution is incorrect. The student's solution simply returns a static number without computing based on input. This suggests the solution is incomplete, as it lacks processing steps.",
  "is_complete": false,
  "is_correct": false,
  "errors_or_next_steps": "The solution should iterate through each route and calculate distances between consecutive locations.",
  "hint_first_draft": "Try looping through each rover's journey to calculate the travel distance between locations.",
  "reflection": "The hint is concise and guides the student to focus on iterating through the routes and calculating distances, which is crucial for solving the problem accurately.",
  "hint": "Try looping through each rover's journey to calculate the travel distance between locations."
}
```</t>
  </si>
  <si>
    <t>3.071760892868042</t>
  </si>
  <si>
    <t>The hint aligns with the expected hint of processing the data (calculating travel distance) rather than returning a hardcoded value.</t>
  </si>
  <si>
    <t>It suggests one overarching step (looping to calculate distances) rather than multiple discrete steps or actions.</t>
  </si>
  <si>
    <t>No specific Python code snippet or function calls are provided in the hint.</t>
  </si>
  <si>
    <t>```json
{
  "thought": "The student's solution is incorrect as the test case did not pass. The student's solution is complete as it returns a result. The immediate logical error is returning a fixed number instead of calculating based on input.",
  "is_complete": true,
  "is_correct": false,
  "errors_or_next_steps": "Logical error in calculating total distance.",
  "hint_first_draft": "Your solution returns a fixed number. Focus on calculating the total distance based on input data.",
  "reflection": "I addressed the main logical error without naming specific functions, following the rules and providing a concise hint for improvement.",
  "hint": "Your solution returns a fixed number. Focus on calculating the total distance based on input data."
}
```</t>
  </si>
  <si>
    <t>3.4780542850494385</t>
  </si>
  <si>
    <t>The given hint aligns with the expected hint by pointing out the hardcoded return value and suggesting the use of the input data to calculate a result.</t>
  </si>
  <si>
    <t>It only suggests one next step‚Äîcalculating total distance from the input. No additional or separate actions are described.</t>
  </si>
  <si>
    <t>There is no specific Python code or snippets provided in the hint.</t>
  </si>
  <si>
    <t>```json
{
  "thought_on_correctness": "The solution is incorrect based on the test case results.",
  "thought_on_completeness": "The solution is incomplete as it directly returns a static value without any logic to compute the problem.",
  "thought_on_next_steps": "Implement the logic to parse the routes and calculate the distances using the provided matrix.",
  "thought_on_errors": "The solution does not contain any logic or implementation to address the task requirements.",
  "hint_first_draft": "Start by parsing the routes to extract each location in the journey, then calculate the distance between consecutive locations using the distance matrix.",
  "reflection": "Considering the simplistic approach taken in the solution, it's crucial to guide the student toward understanding how to iterate over the routes and extract information needed to compute the sum of distances.",
  "hint": "Start by parsing the routes to extract each location in the journey, then calculate the distance between consecutive locations using the distance matrix."
}
```</t>
  </si>
  <si>
    <t>2.954819679260254</t>
  </si>
  <si>
    <t>The hint aligns with the expected guidance to avoid a hardcoded return value and instead use the input data (parse routes and compute distances).</t>
  </si>
  <si>
    <t>It suggests multiple steps: parsing routes, then calculating distances‚Äîtwo distinct actions.</t>
  </si>
  <si>
    <t>No actual Python code or snippets are included.</t>
  </si>
  <si>
    <t>```json
{
  "thought_on_correctness": "The solution is incorrect based on the test case results.",
  "thought_on_completeness": "The solution appears incomplete; it does not attempt to calculate the correct value.",
  "thought_on_next_steps": "The likely next step is to start by accessing the 'routes' and iterating over each to extract locations.",
  "thought_on_errors": "The solution immediately returns a hardcoded number which does not solve the problem.",
  "hint_first_draft": "Start by iterating over each route to extract location sequences and calculate distances between them.",
  "reflection": "The student needs guidance on how to begin solving the problem since the current solution isn't attempting any logic related to the task.",
  "hint": "Start by iterating over each route to extract location sequences and calculate distances between them."
}
```</t>
  </si>
  <si>
    <t>3.134206771850586</t>
  </si>
  <si>
    <t>The hint aligns with the intention to process the input data rather than returning a hardcoded value.</t>
  </si>
  <si>
    <t>It suggests multiple actions: iterating over routes, extracting sequences, and calculating distances.</t>
  </si>
  <si>
    <t>```json
{
  "thought_on_correctness": "The solution is incorrect based on the test case results.",
  "thought_on_completeness": "The solution is complete as it returns an output.",
  "thought_on_next_steps": "The solution is complete, so determining next steps is not applicable.",
  "thought_on_errors": "The return value is a hardcoded number, which does not calculate the total distance as described in the task.",
  "hint_first_draft": "Ensure you calculate the distance by summing the distances between consecutive locations for each route instead of returning a fixed number.",
  "reflection": "The student's solution has a clear logical mistake by using a hardcoded return value, which is why all tests fail. The hint encourages the student to focus on computing results dynamically from the data rather than using static values.",
  "hint": "Ensure you calculate the distance by summing the distances between consecutive locations for each route instead of returning a fixed number."
}
```</t>
  </si>
  <si>
    <t>3.791825294494629</t>
  </si>
  <si>
    <t>The hint aligns with the intention of prompting the user to replace the hardcoded return value with logic that processes the input data.</t>
  </si>
  <si>
    <t>The hint focuses on a single action‚Äîcalculating distances rather than returning a fixed value‚Äîrather than suggesting multiple distinct steps.</t>
  </si>
  <si>
    <t>No Python code or snippets are provided; the hint is purely conceptual.</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</si>
  <si>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return 57890
Test Case Results:
{'testCases': [{'actualOutput': '57890',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</si>
  <si>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{"hint": "Your solution returns a constant. Start by parsing each rover's route to extract the sequence of location names and then use those indices to sum the distances between consecutive points."}</t>
  </si>
  <si>
    <t>18.544918060302734</t>
  </si>
  <si>
    <t>The hint aligns with the expected hint by instructing to use the input for processing instead of returning a constant.</t>
  </si>
  <si>
    <t>It suggests parsing the route (1 step) and then summing distances (2nd step).</t>
  </si>
  <si>
    <t>It does not include any specific code or Python snippets.</t>
  </si>
  <si>
    <t>{"hint": "Your solution returns a constant value instead of computing distances. Focus on processing each route and summing consecutive legs correctly."}</t>
  </si>
  <si>
    <t>22.424514055252075</t>
  </si>
  <si>
    <t>The hint matches the expected hint‚Äôs intention of pointing out the hardcoded return value and directing the user to process the input data instead.</t>
  </si>
  <si>
    <t>It suggests two actions: correctly processing each route and summing consecutive legs, indicating more than one next step.</t>
  </si>
  <si>
    <t>No actual code snippets or specific Python methods are provided in the hint.</t>
  </si>
  <si>
    <t>{"hint": "Your solution returns a fixed number. Try computing the distance by iterating over each route and summing the distances between consecutive stops."}</t>
  </si>
  <si>
    <t>18.232091903686523</t>
  </si>
  <si>
    <t>The hint correctly addresses replacing a hardcoded return with actual distance computation, matching the expected hint's intention.</t>
  </si>
  <si>
    <t>It offers a single approach (iterating and summing distances) rather than multiple distinct next steps.</t>
  </si>
  <si>
    <t>questions/busy_moon_rovers/3_logical.py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</si>
  <si>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location_indices = {}
    for i in range(len(data["locations"])):
        location_indices[data["locations"][i]] = i
    for route in data["routes"]:
        parts = route.split(":")
        journey = parts[0]
        stops_raw = journey.split("-&gt;")
        stops = []
        for stop in stops_raw:
            stops.append(stop.strip())
        i = 0
        while i &lt; len(stops) - 1:
            from_stop = stops[i]
            to_stop = stops[i + 1]
            from_index = location_indices[from_stop]
            to_index = location_indices[to_stop]
            total_distance = total_distance + \
                data["distances"][from_index][to_index]
            i = i + 1
    return total_distance
Test Case Results:
{'testCases': [{'actualOutput': '0',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</si>
  <si>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solution is complete but has a logical error. The main issue is in parsing the route string - it's using the wrong part of the split string (journey instead of parts[1]), causing no locations to be processed correctly.",
    "is_complete": true,
    "is_correct": false,
    "errors_or_next_steps": "Using wrong part of split string after colon in route parsing",
    "hint": "After splitting the route by colon, you're using the wrong part. Check which half of the split contains the actual location information."
}</t>
  </si>
  <si>
    <t>3.4813971519470215</t>
  </si>
  <si>
    <t>Both hints focus on the fact that the code is using the incorrect part after splitting by colon for the journey path.</t>
  </si>
  <si>
    <t>The hint suggests only one specific action: verifying and using the correct split part.</t>
  </si>
  <si>
    <t>The hint does not include any explicit Python code or snippets.</t>
  </si>
  <si>
    <t>You are taking the journey path from wrong split of string</t>
  </si>
  <si>
    <t>{
    "thought": "The solution is complete but incorrect. The main error is in parsing the route string. The code splits on ':' but uses the wrong part (journey instead of parts[1]). This causes all distances to be calculated incorrectly.",
    "is_complete": true,
    "is_correct": false,
    "errors_or_next_steps": "Incorrect parsing of route string leading to wrong location sequence",
    "hint": "Check which part of the split string you're using after the colon. You might be looking at the wrong half of the route information."
}</t>
  </si>
  <si>
    <t>3.5889840126037598</t>
  </si>
  <si>
    <t>The hint points out using the wrong portion of the split string after the colon, which directly matches the intention of the expected hint.</t>
  </si>
  <si>
    <t>The hint only suggests a single correction (checking the correct split part).</t>
  </si>
  <si>
    <t>No specific code or snippet is provided, only a general note about which split element to use.</t>
  </si>
  <si>
    <t>{
    "thought": "The solution is complete but incorrect. The main issue is in parsing the route string - the code splits on the wrong part (splits on ':' and takes first part), causing it to skip the actual locations in the route.",
    "is_complete": true,
    "is_correct": false,
    "errors_or_next_steps": "Route parsing error: Currently taking wrong part after splitting on colon, getting 'Rover X route' instead of the actual path",
    "hint": "After splitting the route on ':', take the second part (index 1) which contains the actual path, not the first part which just has the rover name."
}</t>
  </si>
  <si>
    <t>4.609119892120361</t>
  </si>
  <si>
    <t>The hint correctly points out that the second part of the split contains the path, matching the expected hint‚Äôs intention of correcting the wrong split usage.</t>
  </si>
  <si>
    <t>It only suggests a single adjustment (use parts[1] instead of parts[0]) rather than multiple actions or steps.</t>
  </si>
  <si>
    <t>No explicit Python code or code snippets are included, only a general instruction.</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</si>
  <si>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location_indices = {}
    for i in range(len(data["locations"])):
        location_indices[data["locations"][i]] = i
    for route in data["routes"]:
        parts = route.split(":")
        journey = parts[0]
        stops_raw = journey.split("-&gt;")
        stops = []
        for stop in stops_raw:
            stops.append(stop.strip())
        i = 0
        while i &lt; len(stops) - 1:
            from_stop = stops[i]
            to_stop = stops[i + 1]
            from_index = location_indices[from_stop]
            to_index = location_indices[to_stop]
            total_distance = total_distance + \
                data["distances"][from_index][to_index]
            i = i + 1
    return total_distance
Test Case Results:
{'testCases': [{'actualOutput': '0',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</si>
  <si>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 "The solution appears complete but has a logical error. Looking at test results, it returns 0 when it should return 2171044. The main issue is in parsing the route - the code splits the wrong part to get stops, using the rover name instead of the actual route.",
    "is_complete": true,
    "is_correct": false,
    "errors_or_next_steps": "Route parsing error: splitting 'journey' variable instead of the route part after colon",
    "hint_first_draft": "Look carefully at how you're splitting the route string. Are you getting the actual path part after the colon?",
    "reflection": "The hint should help student realize they're parsing the wrong part of the route string without directly giving away the solution. It's specific enough to point to the issue but general enough to make them think.",
    "hint": "Check your route parsing - are you getting the actual path after 'route:' in your string split? The rover name isn't part of the path!"
}</t>
  </si>
  <si>
    <t>The hint and the expected hint both point out incorrect splitting of the route path.</t>
  </si>
  <si>
    <t>It suggests a single action: fixing the route parsing logic.</t>
  </si>
  <si>
    <t>{
    "thought": "Looking at the solution and test results, the code is complete but incorrect. The main error is in parsing the route string - the code is splitting on ':' but using the wrong part (journey instead of stops_raw). This causes the stops array to be empty, resulting in 0 distance.",
    "is_complete": true,
    "is_correct": false,
    "errors_or_next_steps": "Incorrect parsing of route string causing empty stops array",
    "hint_first_draft": "Check how you're splitting the route string. Are you using the right part after splitting on ':'? Look closely at which part contains the actual locations.",
    "reflection": "The hint should help them identify the parsing issue without giving away the exact solution. It guides them to look at the string splitting logic.",
    "hint": "When you split the route at ':', make sure you're keeping the part that contains the actual locations. Print your 'stops' array to see what it contains."
}</t>
  </si>
  <si>
    <t>6.110913991928101</t>
  </si>
  <si>
    <t>The hint addresses the same issue of splitting the route string incorrectly, matching the intention of the expected hint.</t>
  </si>
  <si>
    <t>It suggests ensuring you keep the needed part of the split and also printing the 'stops' array, so more than one action is implied.</t>
  </si>
  <si>
    <t>The hint provides no specific Python code or snippets.</t>
  </si>
  <si>
    <t>{
    "thought": "Looking at the solution and test results, the code is syntactically complete but has a logical error. The main issue is in parsing the route string - the code is splitting the wrong part of the route string, causing it to not process any locations correctly.",
    "is_complete": true,
    "is_correct": false,
    "errors_or_next_steps": "Route parsing error: splitting wrong part of the route string and not extracting location names correctly",
    "hint_first_draft": "Check how you're splitting the route string. You're using the wrong part after splitting by ':'. The locations are in the second part, not the first!",
    "reflection": "The hint should be more conversational and avoid technical terms like splitting. It should guide them to look at the route string format more carefully.",
    "hint": "Take a closer look at how you're reading the locations from each route. After the colon is where you'll find the actual path the rover takes!"
}</t>
  </si>
  <si>
    <t>5.456925868988037</t>
  </si>
  <si>
    <t>Both the provided and expected hint point out that the code is splitting the string incorrectly, emphasizing that the actual route should come from after the colon rather than before it.</t>
  </si>
  <si>
    <t>The hint suggests a single fix: focus on the correct part of the string (after the colon).</t>
  </si>
  <si>
    <t>The hint offers no code snippets, only conceptual guidance.</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</si>
  <si>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location_indices = {}
    for i in range(len(data["locations"])):
        location_indices[data["locations"][i]] = i
    for route in data["routes"]:
        parts = route.split(":")
        journey = parts[0]
        stops_raw = journey.split("-&gt;")
        stops = []
        for stop in stops_raw:
            stops.append(stop.strip())
        i = 0
        while i &lt; len(stops) - 1:
            from_stop = stops[i]
            to_stop = stops[i + 1]
            from_index = location_indices[from_stop]
            to_index = location_indices[to_stop]
            total_distance = total_distance + \
                data["distances"][from_index][to_index]
            i = i + 1
    return total_distance
Test Case Results:
{'testCases': [{'actualOutput': '0',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</si>
  <si>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
    "thought_on_correctness": "The solution is incorrect as it fails the test case, producing 0 instead of 2171044",
    "thought_on_completeness": "The solution is structurally complete but has a logical error",
    "thought_on_next_steps": "N/A as solution is complete",
    "thought_on_errors": "The error is in parsing the route string - it's splitting on the wrong part of the string to get locations",
    "hint_first_draft": "Look carefully at how you're splitting the route string. You're getting the wrong part - the rover number instead of the actual route!",
    "reflection": "Hint should be more subtle and conversational, avoiding direct reference to string splitting",
    "hint": "Hey! Your path extraction isn't quite right. Double-check which part of the route description contains the actual location information!"
}</t>
  </si>
  <si>
    <t>4.385476112365723</t>
  </si>
  <si>
    <t>The hint correctly matches the expected hint's intention of pointing out that the journey path is taken from the wrong split portion of the string.</t>
  </si>
  <si>
    <t>It only suggests one step (‚Äúdouble-check the part of the route description that contains location information‚Äù) without additional steps or actions.</t>
  </si>
  <si>
    <t>{
    "thought_on_correctness": "The solution is incorrect as it fails the test case, returning 0 instead of 2171044",
    "thought_on_completeness": "The solution appears complete in structure but has a logical error",
    "thought_on_next_steps": "N/A",
    "thought_on_errors": "The route parsing is incorrect. The code splits the wrong part of the route string, using the part before the colon instead of after",
    "hint_first_draft": "Look carefully at how you're splitting the route string. You're getting the wrong part when separating the route information from the actual path.",
    "reflection": "The hint focuses on the key error without giving away the solution, and maintains a conversational tone while being specific enough to guide",
    "hint": "Hmm... when you split the route at ':', are you using the right part to get the locations? Double-check which part contains the actual path information!"
}</t>
  </si>
  <si>
    <t>5.219035863876343</t>
  </si>
  <si>
    <t>The given hint aligns with the expected hint, both cautioning that the journey path may be taken from the wrong split part.</t>
  </si>
  <si>
    <t>It only suggests one action: double-checking which part of the split is used, rather than multiple actions.</t>
  </si>
  <si>
    <t>It doesn't provide or reference any specific Python code or code snippets.</t>
  </si>
  <si>
    <t>{
    "thought_on_correctness": "The solution is incorrect as it fails the test case",
    "thought_on_completeness": "The solution appears complete but has logical errors",
    "thought_on_next_steps": "N/A as solution is complete",
    "thought_on_errors": "The solution splits the route string incorrectly. It's splitting on ':' but using the wrong part (journey instead of route part)",
    "hint_first_draft": "Take a closer look at how you're splitting the route string. After splitting on ':', are you using the correct part to get the locations?",
    "reflection": "The hint points to the specific issue without giving away the solution, is conversational, and focuses on a single error",
    "hint": "Check your route parsing carefully. After splitting at the colon, you might be looking at the wrong part of the string for the locations!"
}</t>
  </si>
  <si>
    <t>4.710682153701782</t>
  </si>
  <si>
    <t>The hint correctly points out that the string splitting might be using the wrong index, aligning with the expected hint about using the wrong split for the journey path.</t>
  </si>
  <si>
    <t>It suggests only a single step: verifying or changing which part of the split is used to get the journey.</t>
  </si>
  <si>
    <t>{
  "thought_on_correctness": "is solution correct based on the test case results",
  "thought_on_completeness": "is solution complete",
  "thought_on_next_steps": "if solution is incomplete, what is the likely next step",
  "thought_on_errors": "find any errors in the solution",
  "hint_first_draft": "Check that the total distance calculation correctly sums all routes, including additional locations visited between 'base'.",
  "reflection": "Based on the test case failing and the provided solution, it seems there might be an issue with how distances for routes are being calculated, specifically in handling journeys with multiple segments. I focused on providing a hint that nudges them towards revising the route processing logic.",
  "hint": "Check that the total distance accurately accounts for all segments in each route."
}</t>
  </si>
  <si>
    <t>2.5597901344299316</t>
  </si>
  <si>
    <t>The provided hint focuses on verifying the total distance rather than the incorrect string split, so it does not match the intended focus.</t>
  </si>
  <si>
    <t>It only suggests one action: verifying the distance calculation without adding extra steps or specifics.</t>
  </si>
  <si>
    <t>The hint does not contain any Python code or snippets.</t>
  </si>
  <si>
    <t>```json
{
  "thought_on_correctness": "is solution correct based on the test case results",
  "thought_on_completeness": "is solution complete",
  "thought_on_next_steps": "check how you're calculating distances",
  "thought_on_errors": "the distance calculation is resetting total_distance incorrectly",
  "hint_first_draft": "You may want to ensure the total distance is accumulated correctly between routes.",
  "reflection": "I determined the solution was incorrect due to the failure in the test case results. It's incomplete in properly calculating the total distance and needs correcting. The hint focuses on rectifying the accumulation of distances.",
  "hint": "Ensure you're accumulating total_distance correctly instead of resetting it."
}
```</t>
  </si>
  <si>
    <t>6.348805904388428</t>
  </si>
  <si>
    <t>The provided hint focuses on total_distance accumulation and does not address the incorrect string splitting issue described in the expected hint.</t>
  </si>
  <si>
    <t>It suggests a single action (ensuring total_distance is not reset) rather than multiple steps.</t>
  </si>
  <si>
    <t>No Python code or code snippets are given in the hint.</t>
  </si>
  <si>
    <t>```json
{
  "thought_on_correctness": "is solution incorrect based on the test case results",
  "thought_on_completeness": "is solution complete",
  "thought_on_next_steps": "focus on correcting the way distances are summed for each route",
  "thought_on_errors": "the total_distance variable is being reset instead of accumulated",
  "hint_first_draft": "Check how you're updating the total distance; it should accumulate instead of resetting.",
  "reflection": "The solution was incorrect as the test case output didn't match, indicating a logical issue. I identified that the variable total_distance is incorrectly reassigned. Thus, the hint should guide the student to fix the accumulation logic without showing the correct code.",
  "hint": "Check how you're updating the total distance; it should accumulate instead of resetting."
}
```</t>
  </si>
  <si>
    <t>4.608331203460693</t>
  </si>
  <si>
    <t>The provided hint focuses on total distance accumulation, whereas the expected hint points to an issue with splitting the string. They do not match in intention.</t>
  </si>
  <si>
    <t>It only suggests one fix (to ensure distance accumulates), so it does not propose multiple steps.</t>
  </si>
  <si>
    <t>```json
{
  "thought": "The test result shows that the student solution outputs 0 instead of the expected distance. The solution reads route data incorrectly.",
  "is_complete": true,
  "is_correct": false,
  "errors_or_next_steps": "The logic for extracting stops from routes does not work correctly.",
  "hint": "Ensure you extract the sequence of stops correctly from each route description."
}
```</t>
  </si>
  <si>
    <t>1.8372318744659424</t>
  </si>
  <si>
    <t>The hint aligns with the expected issue of incorrect splitting or extraction of stops from the route description.</t>
  </si>
  <si>
    <t>It points to one main fix‚Äîadjust the way the sequence of stops is obtained‚Äîrather than multiple distinct steps.</t>
  </si>
  <si>
    <t>No specific code snippet or Python code is provided in the hint.</t>
  </si>
  <si>
    <t>```json
{
  "thought": "The solution is incorrect because the output was 0 instead of the expected 2171044. The code attempts to split the journey incorrectly. It should split on 'route:' and then '-&gt;'. The split usage is causing a logic error.",
  "is_complete": true,
  "is_correct": false,
  "errors_or_next_steps": "The logic for parsing the routes is incorrect due to improper split operation.",
  "hint": "Double-check how you are extracting the stop locations from each route string."
}
```</t>
  </si>
  <si>
    <t>2.1436710357666016</t>
  </si>
  <si>
    <t>Both the given and expected hints address checking how the route string is being split, matching in intention.</t>
  </si>
  <si>
    <t>The hint suggests a single action (double-check the extraction); it does not propose multiple steps.</t>
  </si>
  <si>
    <t>```json
{
  "thought": "The test case results show that the student's solution is incorrect as it outputs '0' instead of the expected '2171044'. The solution is complete but has logical errors, specifically in parsing and handling the routes.",
  "is_complete": true,
  "is_correct": false,
  "errors_or_next_steps": "Logical errors in route parsing and summing distances.",
  "hint": "Check how you are splitting and parsing the routes; wrong parsing can lead to incorrect distance calculations."
}
```</t>
  </si>
  <si>
    <t>3.101639986038208</t>
  </si>
  <si>
    <t>Both hints focus on incorrect string splitting leading to wrong distance calculations, so they match in intention.</t>
  </si>
  <si>
    <t>It only suggests checking the splitting/parsing; there's no multiple distinct steps.</t>
  </si>
  <si>
    <t>```json
{
  "thought": "The solution is incorrect because it produces an incorrect total distance of 0 for the given test case. The solution iterates through the routes and calculates total distance, but looks like an issue exists in how routes are being parsed due to incorrect use of split(':'). The student's solution also seems incomplete as it does not correctly process the routes.",
  "is_complete": false,
  "is_correct": false,
  "errors_or_next_steps": "Make sure you are extracting the routes correctly by appropriately splitting and parsing strings.",
  "hint_first_draft": "Ensure route extraction correctly uses separators to parse location names.",
  "reflection": "The main issue is with the initial parsing of routes, leading to lack of proper processing in the distance calculation.",
  "hint": "Ensure route extraction correctly uses separators to parse location names."
}
```</t>
  </si>
  <si>
    <t>4.171447992324829</t>
  </si>
  <si>
    <t>Both hints focus on correcting the way the route string is split or parsed.</t>
  </si>
  <si>
    <t>The hint only suggests one action: ensuring the correct separators are used for parsing.</t>
  </si>
  <si>
    <t>No specific code snippet or Python syntax is provided in the hint.</t>
  </si>
  <si>
    <t>```json
{
  "thought": "The student's solution is incorrect as the test case results indicate different actual and expected outputs. The solution is complete but has logical errors, specifically in how the journey string is parsed, causing the total distance calculation to be incorrect.",
  "is_complete": true,
  "is_correct": false,
  "errors_or_next_steps": "Logical error in how the journey string is parsed.",
  "hint_first_draft": "Ensure you're splitting the route string correctly to parse the stops in order.",
  "reflection": "The error stems from splitting the route string at incorrect parts; focusing on this will help rectify the logic.",
  "hint": "Ensure you're splitting the route string correctly to parse the stops in order."
}
```</t>
  </si>
  <si>
    <t>Both the provided hint and the expected hint focus on correcting the route splitting logic.</t>
  </si>
  <si>
    <t>It only suggests making sure the string is split correctly, which is essentially one step.</t>
  </si>
  <si>
    <t>It does not include specific Python code or snippets.</t>
  </si>
  <si>
    <t>```json
{
  "thought": "The test case result shows that the solution produced '0' instead of the expected '2171044'. This indicates an error in the logic or syntax. The task requires parsing strings to calculate distances, and parsing errors seem plausible here.",
  "is_complete": false,
  "is_correct": false,
  "errors_or_next_steps": "Check your string parsing logic; ensure all parts of the route are processed correctly.",
  "hint_first_draft": "Verify that the parsing of the string into locations is done properly to ensure accurate distance calculation.",
  "reflection": "The error likely resides in the string parsing step, where the journey parts aren't extracted correctly. Emphasizing on this aspect directs the student to inspect and potentially correct their route parsing logic.",
  "hint": "Verify that the parsing of the string into locations is done properly to ensure accurate distance calculation."
}
```</t>
  </si>
  <si>
    <t>3.3801021575927734</t>
  </si>
  <si>
    <t>Both the provided hint and the expected hint focus on ensuring that the string is correctly split or parsed to obtain locations.</t>
  </si>
  <si>
    <t>The hint only suggests a single action: verifying the parsing. It does not list multiple steps or actions.</t>
  </si>
  <si>
    <t>No Python code or code snippets are provided; it only offers a general verification step.</t>
  </si>
  <si>
    <t>```json
{
  "thought_on_correctness": "The solution is incorrect based on the test case results.",
  "thought_on_completeness": "The solution is complete.",
  "thought_on_next_steps": "The solution is complete, so no immediate next step for an incomplete solution is needed.",
  "thought_on_errors": "There is a logical error in parsing the route string.",
  "hint_first_draft": "Check how the route strings are split. Make sure you're correctly extracting the place transitions.",
  "reflection": "The solution appears to misinterpret the journey details from the route strings. Ensuring the way stops are parsed and handled will be crucial here.",
  "hint": "Check how the route strings are split. Make sure you're correctly extracting the place transitions."
}
```</t>
  </si>
  <si>
    <t>3.0705480575561523</t>
  </si>
  <si>
    <t>The hint aligns with the expected hint's intention to check the string splitting for the journey path.</t>
  </si>
  <si>
    <t>It provides only one next step (to check the route string splitting).</t>
  </si>
  <si>
    <t>It does not include any Python code or code snippets.</t>
  </si>
  <si>
    <t>```json
{
  "thought_on_correctness": "The solution is incorrect based on the test case results because it outputs '0' instead of the expected '2171044'.",
  "thought_on_completeness": "The solution is complete as it attempts to process the data structure and iterate through routes.",
  "thought_on_next_steps": "N/A",
  "thought_on_errors": "There's a logical error in how 'journey' is being parsed. It should handle the routes correctly.",
  "hint_first_draft": "Check how you split the route string into stop points; ensure no key parts are left out in the split process.",
  "reflection": "I evaluated the code to be incorrect based on the test output and identified a logical error in parsing the routes. My hint focuses on ensuring correct splitting of the route string to effectively process each stop.",
  "hint": "Check how you split the route string into stop points; ensure no key parts are left out in the split process."
}
```</t>
  </si>
  <si>
    <t>3.172325849533081</t>
  </si>
  <si>
    <t>Both the given hint and the expected hint address an issue with how the route string is split, indicating they share the same intention.</t>
  </si>
  <si>
    <t>The hint suggests essentially one action: reviewing the splitting process; it does not outline multiple distinct steps.</t>
  </si>
  <si>
    <t>```json
{
  "thought_on_correctness": "is solution correct based on the test case results",
  "thought_on_completeness": "solution is complete",
  "thought_on_next_steps": "not applicable",
  "thought_on_errors": "There is a logical error in parsing the route string, specifically splitting by ':' instead of '-&gt;'.",
  "hint_first_draft": "Ensure the route string is split correctly to extract each location visited by the rover.",
  "reflection": "The student's approach of parsing the route string has a mistake where they split incorrectly. By focusing on the string manipulation to correctly break down the route, I believe the student can identify the error and rectify it.",
  "hint": "Ensure the route string is split correctly to extract each location visited by the rover."
}
```</t>
  </si>
  <si>
    <t>3.486114978790283</t>
  </si>
  <si>
    <t>The hint aligns with the expected hint's intention to correct how routes are split.</t>
  </si>
  <si>
    <t>It suggests only one action (ensuring the route string is properly split), without additional steps.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</si>
  <si>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You are given an object with three keys:
locations: An array of location names.
distances: A 2D matrix where the value at row i and column j is the distance between locations[i] and locations[j].
routes: An array of strings that describe each rover's journey. Each string follows the format:
"Rover X route: base -&gt; ... -&gt; base",
indicating the order of locations visited (each journey starts and ends at "base").
Task:
Calculate and return the total distance traveled by all rovers by summing the distances between consecutive locations in each route.
Example
Input:
python
Copy
data = {
    "locations": ["base", "A", "B"],
    "distances": [
        [0, 10, 20],
        [10, 0, 15],
        [20, 15, 0]
    ],
    "routes": [
        "Rover 1 route: base -&gt; A -&gt; base",
        "Rover 2 route: base -&gt; B -&gt; base"
    ]
}
Expected Output:
Copy
60
Student Solution:
def solution(data):
    total_distance = 0
    location_indices = {}
    for i in range(len(data["locations"])):
        location_indices[data["locations"][i]] = i
    for route in data["routes"]:
        parts = route.split(":")
        journey = parts[0]
        stops_raw = journey.split("-&gt;")
        stops = []
        for stop in stops_raw:
            stops.append(stop.strip())
        i = 0
        while i &lt; len(stops) - 1:
            from_stop = stops[i]
            to_stop = stops[i + 1]
            from_index = location_indices[from_stop]
            to_index = location_indices[to_stop]
            total_distance = total_distance + \
                data["distances"][from_index][to_index]
            i = i + 1
    return total_distance
Test Case Results:
{'testCases': [{'actualOutput': '0', 'passed': False, 'userPrints': '', 'testCase': {'input': {'locations': ['base', 'ta00', 'cx22', 'xj84'], 'distances': [[0, 55457, 63529, 61302], [55457, 0, 111890, 35768], [63529, 111890, 0, 98977], [61302, 35768, 98977, 0]], 'routes': ['Rover 1 route: base -&gt; cx22 -&gt; ta00 -&gt; base -&gt; xj84 -&gt; base', 'Rover 2 route: base -&gt; ta00 -&gt; cx22 -&gt; base -&gt; xj84 -&gt; base', 'Rover 3 route: base -&gt; xj84 -&gt; base', 'Rover 4 route: base -&gt; ta00 -&gt; base', 'Rover 5 route: base -&gt; cx22 -&gt; base', 'Rover 6 route: base -&gt; xj84 -&gt; cx22 -&gt; base', 'Rover 7 route: base -&gt; ta00 -&gt; xj84 -&gt; base', 'Rover 8 route: base -&gt; cx22 -&gt; ta00 -&gt; xj84 -&gt; base', 'Rover 9 route: base -&gt; ta00 -&gt; cx22 -&gt; xj84 -&gt; base', 'Rover 10 route: base -&gt; cx22 -&gt; base']}, 'expectedOutput': 2171044, 'description': 'simple test'}}], 'numPassed': 0, 'numFailed': 1, 'stderr': ''}
</t>
  </si>
  <si>
    <t>{"hint": "Your splitting logic is off‚Äîmake sure to use the part after the colon to extract the journey details."}</t>
  </si>
  <si>
    <t>Both the provided hint and the expected hint point out that the journey path is derived from the wrong split, specifically that it should come after the colon.</t>
  </si>
  <si>
    <t>It suggests only a single action: adjusting which part of the split string is used for the journey details.</t>
  </si>
  <si>
    <t>{"hint": "Your split is off; you're taking the wrong part of the string. Try using the section after the colon to extract the stops."}</t>
  </si>
  <si>
    <t>4.943274974822998</t>
  </si>
  <si>
    <t>The hint accurately points out using the part after the colon, matching the intended message that the wrong portion of the split is being used.</t>
  </si>
  <si>
    <t>It only provides one suggestion: to take the substring after the colon, and does not list multiple steps.</t>
  </si>
  <si>
    <t>It does not include any Python-specific code or snippets, but rather a general instruction.</t>
  </si>
  <si>
    <t>{"hint": "Your solution parses the route string incorrectly. Instead of using the first part before the colon, try using the part after the colon to extract the stops."}</t>
  </si>
  <si>
    <t>4.707142114639282</t>
  </si>
  <si>
    <t>The provided hint and the expected hint both address that the code is taking the wrong part of the string (the part before the colon) instead of the correct part (the part after the colon).</t>
  </si>
  <si>
    <t>The hint suggests only a single change: switching from using the first split part to the second. It does not recommend multiple steps or further actions.</t>
  </si>
  <si>
    <t>The hint does not provide any sample code or Python snippets; it is purely descriptive.</t>
  </si>
  <si>
    <t>purchase_tickets</t>
  </si>
  <si>
    <t>questions/purchase_tickets/1_incomplete.py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</si>
  <si>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insert your code below
    total_costs = {}
    for line in data:
        company_and_rest = line.split(': ')
        if len(company_and_rest) != 2:
            continue
        company_code, rest = company_and_rest
        type_and_amount = rest.split(' ')
        if len(type_and_amount) != 2:
            continue
        charge_type, amount_str = type_and_amount
        try:
            amount = int(amount_str)
        except ValueError:
            continue
        if company_code not in total_costs:
            total_costs[company_code] = 0
        if charge_type in ['Seat', 'Meals', 'Luggage', 'Fee', 'Tax']:
            total_costs[company_code] += amount
        elif charge_type in ['Discount', 'Rebate']:
            total_costs[company_code] -= amount
        else:
            continue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</si>
  <si>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"The solution is complete but incorrect. The code processes the data correctly but doesn't return anything. The function needs to find and return the minimum total cost among all companies after processing all records.",
    "is_complete": true,
    "is_correct": false,
    "errors_or_next_steps": "Missing return statement for minimum value",
    "hint": "After calculating all company totals, you need to find and return the smallest value. Check your dictionary of totals at the end!"
}</t>
  </si>
  <si>
    <t>3.0706920623779297</t>
  </si>
  <si>
    <t>The hint aligns exactly with the expectation to return the minimum total from the dictionary at the end.</t>
  </si>
  <si>
    <t>It suggests only one step: find and return the smallest value from the dictionary.</t>
  </si>
  <si>
    <t>Solution is correct so far, you only need to return the minimum cost at the end</t>
  </si>
  <si>
    <t>{
    "thought": "The solution is nearly complete but is missing a critical return statement. The function calculates costs correctly but doesn't return the minimum value from total_costs dictionary.",
    "is_complete": false,
    "is_correct": false,
    "errors_or_next_steps": "Missing return statement to output the minimum cost among all companies",
    "hint": "You've calculated all the costs correctly! Now, just find the smallest total among all companies and return that value."
}</t>
  </si>
  <si>
    <t>The hint aligns with the expected hint to simply return the minimum cost from the totals.</t>
  </si>
  <si>
    <t>It only suggests one next step: finding and returning the smallest total.</t>
  </si>
  <si>
    <t>No direct code or code snippets are provided in the hint.</t>
  </si>
  <si>
    <t>{
    "thought": "The solution is complete as it handles all required cases, but it's missing a return statement to output the minimum cost. The dictionary is populated correctly but nothing is being returned.",
    "is_complete": true,
    "is_correct": false,
    "errors_or_next_steps": "Missing return statement for minimum cost",
    "hint": "Your calculations look good, but you need to find the smallest total among all companies and return that value. Remember to check your dictionary values!"
}</t>
  </si>
  <si>
    <t>3.177751064300537</t>
  </si>
  <si>
    <t>The provided hint aligns closely with the expected hint, instructing to find and return the smallest total.</t>
  </si>
  <si>
    <t>It focuses on a single action (returning the minimum value). The reminder to check dictionary values is an additional caution, not a separate step.</t>
  </si>
  <si>
    <t>No specific Python code or snippet is included, just general guidance.</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</si>
  <si>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insert your code below
    total_costs = {}
    for line in data:
        company_and_rest = line.split(': ')
        if len(company_and_rest) != 2:
            continue
        company_code, rest = company_and_rest
        type_and_amount = rest.split(' ')
        if len(type_and_amount) != 2:
            continue
        charge_type, amount_str = type_and_amount
        try:
            amount = int(amount_str)
        except ValueError:
            continue
        if company_code not in total_costs:
            total_costs[company_code] = 0
        if charge_type in ['Seat', 'Meals', 'Luggage', 'Fee', 'Tax']:
            total_costs[company_code] += amount
        elif charge_type in ['Discount', 'Rebate']:
            total_costs[company_code] -= amount
        else:
            continue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</si>
  <si>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"The solution appears complete as it processes all records and handles different types of costs. However, it's not returning anything, which is why all test cases fail. The code correctly accumulates costs but doesn't find or return the minimum value.",
    "is_complete": true,
    "is_correct": false,
    "errors_or_next_steps": "Missing return statement to output the minimum cost across all companies",
    "hint_first_draft": "You've done the calculation part correctly, but what's the smallest final cost among all companies? Make sure you're giving back that number!",
    "reflection": "The hint avoids technical terms and guides the student to realize they need to return the minimum value. It's conversational and focuses on the single most critical issue.",
    "hint": "Great job tracking all the costs! Now, look at all those final numbers you've calculated - which company ended up with the smallest bill? That's what we need to return!"
}</t>
  </si>
  <si>
    <t>5.222716808319092</t>
  </si>
  <si>
    <t>The expected hint is to return the minimum cost, but the hint instead suggests returning the company with the smallest bill, so they do not match in intention.</t>
  </si>
  <si>
    <t>It only suggests a single next step: identifying and returning the smallest bill, which is fewer than three lines of code.</t>
  </si>
  <si>
    <t>{
    "thought": "The solution is complete in terms of logic structure but missing a crucial return statement. The code correctly calculates totals but doesn't return the minimum value as required. All test cases fail because nothing is being returned.",
    "is_complete": true,
    "is_correct": false,
    "errors_or_next_steps": "Missing return statement to output the minimum cost across all companies",
    "hint_first_draft": "Your calculations look good, but you're forgetting to give back the smallest total from all the companies you've calculated.",
    "reflection": "The hint is clear, concise, and guides without giving away the exact solution or using technical terms. It focuses on the single most critical issue.",
    "hint": "Great work on the calculations! Now, don't forget to find and give back the smallest total from all your company totals."
}</t>
  </si>
  <si>
    <t>5.223189830780029</t>
  </si>
  <si>
    <t>The hint correctly matches the intention to return the minimum total from the computed costs.</t>
  </si>
  <si>
    <t>It only suggests a single action: find and return the smallest total.</t>
  </si>
  <si>
    <t>{
    "thought": "Looking at the code and test results, the solution is complete but incorrect. The main issue is that the function doesn't return anything - it just builds the total_costs dictionary but never returns the minimum value.",
    "is_complete": true,
    "is_correct": false,
    "errors_or_next_steps": "Function calculates costs correctly but doesn't return the minimum value",
    "hint_first_draft": "You've calculated all the costs correctly, but you're missing the last step. What should you do with all those company totals to get the smallest one?",
    "reflection": "The hint should be simple and guide them to find the minimum value without explicitly mentioning min() function. The current hint is clear and conversational.",
    "hint": "Great job tracking the costs! Now, look through all your company totals and find the smallest one - that's what needs to be returned."
}</t>
  </si>
  <si>
    <t>5.292301177978516</t>
  </si>
  <si>
    <t>The hint aligns with the expected intention of returning the minimum cost at the end.</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</si>
  <si>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insert your code below
    total_costs = {}
    for line in data:
        company_and_rest = line.split(': ')
        if len(company_and_rest) != 2:
            continue
        company_code, rest = company_and_rest
        type_and_amount = rest.split(' ')
        if len(type_and_amount) != 2:
            continue
        charge_type, amount_str = type_and_amount
        try:
            amount = int(amount_str)
        except ValueError:
            continue
        if company_code not in total_costs:
            total_costs[company_code] = 0
        if charge_type in ['Seat', 'Meals', 'Luggage', 'Fee', 'Tax']:
            total_costs[company_code] += amount
        elif charge_type in ['Discount', 'Rebate']:
            total_costs[company_code] -= amount
        else:
            continue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</si>
  <si>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"thought_on_correctness": "Solution is incorrect as all test cases failed",
    "thought_on_completeness": "Solution is incomplete. It processes the input but doesn't return the minimum cost",
    "thought_on_next_steps": "After processing all costs in the dictionary, need to find and return the smallest value",
    "thought_on_errors": "Code correctly calculates costs but doesn't return anything, causing None output",
    "hint_first_draft": "After calculating all company costs, you need to find the smallest one. Look at your dictionary values and find the lowest number.",
    "reflection": "Hint is clear, concise, and avoids technical terms while guiding towards the missing return statement and min value calculation",
    "hint": "You've done the hard part! Now just find the smallest number from all your company totals and let us know what it is."
}</t>
  </si>
  <si>
    <t>5.692006349563599</t>
  </si>
  <si>
    <t>The hint accurately matches the expected instruction to return the minimum total cost.</t>
  </si>
  <si>
    <t>It only suggests finding and returning the smallest total, which is a single step.</t>
  </si>
  <si>
    <t>{
    "thought_on_correctness": "Solution is incorrect as all test cases failed",
    "thought_on_completeness": "Solution is incomplete as it's missing the final return statement",
    "thought_on_next_steps": "After calculating all costs, need to find and return the smallest value",
    "thought_on_errors": "Code calculates costs correctly but doesn't return the minimum value from total_costs dictionary",
    "hint_first_draft": "After you've calculated all the costs, what's the smallest total among all companies?",
    "reflection": "Hint is concise, doesn't give away specific function names, and guides student to next logical step without revealing solution",
    "hint": "Look at all your final totals. Which company ended up with the smallest bill?"
}</t>
  </si>
  <si>
    <t>4.155164003372192</t>
  </si>
  <si>
    <t>The given hint and the expected hint both guide the user to find the company with the smallest total cost, so they match in intention.</t>
  </si>
  <si>
    <t>It only suggests finding the company with the smallest bill, which is a single action rather than multiple steps.</t>
  </si>
  <si>
    <t>{
    "thought_on_correctness": "Solution is incorrect based on all test cases failing",
    "thought_on_completeness": "Solution is incomplete. The function processes the data but doesn't return the minimum cost",
    "thought_on_next_steps": "Need to find and return the smallest value from all company totals",
    "thought_on_errors": "Missing return statement for the minimum value across all companies",
    "hint_first_draft": "Your calculations look good, but you're not returning anything. After getting all totals, find and return the smallest amount.",
    "reflection": "Hint focuses on immediate next step, avoids specific method names, and is concise while maintaining conversational tone",
    "hint": "Great job tracking the costs! Now, look through all those totals you've calculated and return the smallest one you can find."
}</t>
  </si>
  <si>
    <t>4.700888156890869</t>
  </si>
  <si>
    <t>The provided hint aligns with the expected hint, asking to return the smallest total cost.</t>
  </si>
  <si>
    <t>It only suggests one action: finding and returning the minimum total.</t>
  </si>
  <si>
    <t>No specific code or snippets are given.</t>
  </si>
  <si>
    <t>{
  "thought_on_correctness": "no, solution is incorrect based on the test case results",
  "thought_on_completeness": "no, solution is incomplete",
  "thought_on_next_steps": "the next step is to ensure that a final cost is calculated and returned from the function",
  "thought_on_errors": "",
  "hint_first_draft": "Make sure to return the minimum final cost after computing all company totals.",
  "reflection": "The solution fails multiple test cases, indicating incompleteness as it does not return any value. The hint focuses on the immediate action needed to fix this.",
  "hint": "Make sure to return the minimum final cost after computing all company totals."
}</t>
  </si>
  <si>
    <t>2.4624481201171875</t>
  </si>
  <si>
    <t>The given hint aligns with the expected hint of returning the minimum cost.</t>
  </si>
  <si>
    <t>It suggests only a single next step: returning the minimum cost.</t>
  </si>
  <si>
    <t>{
  "thought_on_correctness": "is solution correct based on the test case results",
  "thought_on_completeness": "is solution complete",
  "thought_on_next_steps": "if solution is incomplete, what is the likely next step",
  "thought_on_errors": "find any errors in the solution",
  "hint_first_draft": "Your function doesn't return anything at the end. Make sure to return the final calculated minimum cost.",
  "reflection": "The solution is incorrect as all test cases failed. It does not return a value, which is likely causing the failures. I focused on the most pressing issue: returning a value from the function.",
  "hint": "Your function doesn't return anything at the end. Make sure to return the final calculated minimum cost."
}</t>
  </si>
  <si>
    <t>2.8667190074920654</t>
  </si>
  <si>
    <t>The hint matches the expected intention to return the final minimum cost.</t>
  </si>
  <si>
    <t>It provides only one explicit next step: returning the calculated minimum cost.</t>
  </si>
  <si>
    <t>{
  "thought_on_correctness": "is solution correct based on the test case results",
  "thought_on_completeness": "is solution complete",
  "thought_on_next_steps": "if solution is incomplete, what is the likely next step",
  "thought_on_errors": "find any errors in the solution",
  "hint_first_draft": "It seems you're missing a final step to compute and return the minimum cost from the total costs dictionary.",
  "reflection": "The solution isn't providing any output, particularly the minimum final cost. Therefore, it's incomplete, and I suggest focusing on adding the missing return statement to give the expected result.",
  "hint": "Don't forget to return the minimum value of the total costs after calculations."
}</t>
  </si>
  <si>
    <t>2.4488718509674072</t>
  </si>
  <si>
    <t>Both hints convey the same intention‚Äîreturning the minimum total cost at the end.</t>
  </si>
  <si>
    <t>The hint only provides a single next step: returning the minimum value.</t>
  </si>
  <si>
    <t>No specific Python code or snippet is included.</t>
  </si>
  <si>
    <t>```json
{
  "thought": "The test cases do not return the expected output, indicating the solution is incorrect. The solution does not return any value, which suggests it's incomplete. The next logical step is to compute the minimum total and return it after processing all records.",
  "is_complete": false,
  "is_correct": false,
  "errors_or_next_steps": "The solution does not produce an output.",
  "hint": "Consider computing and returning the minimum final cost after processing all records."
}
```</t>
  </si>
  <si>
    <t>2.557587146759033</t>
  </si>
  <si>
    <t>The hint aligns with the expected task of returning the minimum final cost, matching the intended solution.</t>
  </si>
  <si>
    <t>It describes only one clear action: compute and return the minimum cost.</t>
  </si>
  <si>
    <t>It provides no specific code or Python snippet, only a conceptual instruction.</t>
  </si>
  <si>
    <t>```json
{
  "thought": "The solution is incorrect as all test cases failed; it hasn't returned the minimum final cost. The logic for calculating costs per company is complete, but no result is returned. The next step is to find the minimum cost among all companies and return it.",
  "is_complete": true,
  "is_correct": false,
  "errors_or_next_steps": "The program does not return the final calculated result.",
  "hint": "Ensure you calculate the minimum cost and return it at the end."
}
```</t>
  </si>
  <si>
    <t>2.560028076171875</t>
  </si>
  <si>
    <t>The hint aligns with the expected instruction of returning the minimum cost at the end.</t>
  </si>
  <si>
    <t>It only suggests a single step: calculate and return the minimum cost.</t>
  </si>
  <si>
    <t>No explicit Python code snippets are provided.</t>
  </si>
  <si>
    <t>```json
{
  "thought": "The solution is incorrect based on test case results. The function returns None because it doesn't include a return statement to compute the minimum cost from total_costs. Focus on ensuring the function returns the correct value.",
  "is_complete": false,
  "is_correct": false,
  "errors_or_next_steps": "Add logic to determine and return the minimum total cost from total_costs.",
  "hint": "Ensure your solution returns the smallest total cost among all companies."
}
```</t>
  </si>
  <si>
    <t>2.365528106689453</t>
  </si>
  <si>
    <t>The hint aligns with the intended action of returning the minimum total cost from the dictionary of totals.</t>
  </si>
  <si>
    <t>The hint points to a single step (finding the minimum cost) rather than multiple steps.</t>
  </si>
  <si>
    <t>The hint does not provide any Python code or snippets; it only states the goal.</t>
  </si>
  <si>
    <t>```json
{
  "thought": "The test case results indicate the solution is incorrect as all tests failed. Reviewing the solution, it is complete, but there is a logical error as it doesn't return the final result. The hint should help the student focus on the missing return statement.",
  "is_complete": true,
  "is_correct": false,
  "errors_or_next_steps": "A return statement is missing at the end of the function.",
  "hint_first_draft": "Remember to return the smallest total cost among companies at the end.",
  "reflection": "I reviewed both the problem and solution to ensure my hint addresses the identified logical error. The hint focuses on adding a return statement needed to compute and return the minimum cost after processing the data.",
  "hint": "Don't forget to return the smallest cost for the companies after processing."
}
```</t>
  </si>
  <si>
    <t>3.782723903656006</t>
  </si>
  <si>
    <t>The hint matches the intended goal of returning the minimum cost at the end.</t>
  </si>
  <si>
    <t>The hint only specifies a single step: return the smallest cost.</t>
  </si>
  <si>
    <t>```json
{
  "thought": "The solution is incorrect as per test case results since all of them failed. The function computes total costs per company but doesn't return the minimum cost. The code appears complete but forgets the crucial step of returning any result.",
  "is_complete": true,
  "is_correct": false,
  "errors_or_next_steps": "The solution does not return a result, leading to 'None' as output.",
  "hint_first_draft": "Don't forget to return the minimum cost after calculating the total for each company.",
  "reflection": "The problem stemmed from all test cases returning 'None', indicating a failure to return the expected result. Emphasizing the return step is crucial in this case.",
  "hint": "Don't forget to return the minimum cost after calculating the total for each company."
}
```</t>
  </si>
  <si>
    <t>3.788058042526245</t>
  </si>
  <si>
    <t>The hint aligns with the expected hint's intention of returning the minimum cost at the end.</t>
  </si>
  <si>
    <t>It only gives a single step: return the minimum cost, which can be done with a single command.</t>
  </si>
  <si>
    <t>```json
{
  "thought": "The test cases show that the function is not returning any output. The test results also indicate that the solution is not correct. The student likely missed implementing the return statement. The current focus should be addressing this crucial missing component.",
  "is_complete": true,
  "is_correct": false,
  "errors_or_next_steps": "The function doesn't return a result.",
  "hint_first_draft": "It looks like your function isn't returning the minimum cost. Make sure to extract the result from your calculations and return it.",
  "reflection": "The hint addresses the primary issue by pointing out the lack of a return value, which is crucial for the function's output. This helps the student focus on completing their solution by providing the necessary final statement.",
  "hint": "It looks like your function isn't returning the minimum cost. Make sure to extract the result from your calculations and return it."
}
```</t>
  </si>
  <si>
    <t>4.230677127838135</t>
  </si>
  <si>
    <t>The hint aligns with the expected instruction to return the minimum cost. Both mention ensuring the solution returns the correct final value.</t>
  </si>
  <si>
    <t>The hint only gives one clear action: to return the minimum cost.</t>
  </si>
  <si>
    <t>The hint does not show any Python code or specific snippets, just a conceptual correction.</t>
  </si>
  <si>
    <t>```json
{
  "thought_on_correctness": "is solution correct based on the test case results",
  "thought_on_completeness": "The solution is incomplete because it does not return any final result.",
  "thought_on_next_steps": "The likely next step is to determine the minimum final cost after processing all records.",
  "thought_on_errors": "The solution does not return the minimum cost correctly after computing costs for each company.",
  "hint_first_draft": "Make sure to return the smallest total cost among all companies after calculating the costs.",
  "reflection": "The analysis identifies that the solution processes data but does not define how to extract and return the desired final result.",
  "hint": "Make sure to return the smallest total cost among all companies after calculating the costs."
}
```</t>
  </si>
  <si>
    <t>3.786795139312744</t>
  </si>
  <si>
    <t>The hint aligns with the intention to return the minimum total cost at the end.</t>
  </si>
  <si>
    <t>Only one action step is suggested: returning the smallest total cost.</t>
  </si>
  <si>
    <t>```json
{
  "thought_on_correctness": "The solution is incorrect based on the test case results.",
  "thought_on_completeness": "The solution is incomplete; it does not return any value.",
  "thought_on_next_steps": "The likely next step is to compute the minimum final cost from the total costs of all companies and return it.",
  "thought_on_errors": "The solution does not return any result, missing a critical step.",
  "hint_first_draft": "Make sure to calculate the overall minimum cost from the total costs collected and return this value at the end.",
  "reflection": "I have identified that the solution does not reach a conclusive result since no value is returned. Providing a hint to compute and return the minimum final cost should guide the student in completing their solution.",
  "hint": "Make sure to calculate the overall minimum cost from the total costs collected and return this value at the end."
}
```</t>
  </si>
  <si>
    <t>4.505463123321533</t>
  </si>
  <si>
    <t>Both hints instruct returning the minimum cost at the end, matching the same intention.</t>
  </si>
  <si>
    <t>The hint suggests only one action (calculating and returning the minimum cost).</t>
  </si>
  <si>
    <t>```json
{
  "thought_on_correctness": "The solution is incorrect based on the test case results as all outputs are 'None'.",
  "thought_on_completeness": "The solution is incomplete as it processes the data but does not produce any output.",
  "thought_on_next_steps": "The solution needs to determine and return the minimum cost from the calculated company totals.",
  "thought_on_errors": "The error in the solution is that it doesn't return the required final output.",
  "hint_first_draft": "Make sure to select the minimum company cost and provide it as the function's output.",
  "reflection": "The given solution processes records correctly, but the step of finding and returning the minimum final cost is missing. The hint focuses on adding this final critical step to complete the solution.",
  "hint": "Make sure to select the minimum company cost and provide it as the function's output."
}
```</t>
  </si>
  <si>
    <t>4.812871932983398</t>
  </si>
  <si>
    <t>The hint aligns with the expected hint of returning the minimum cost at the end.</t>
  </si>
  <si>
    <t>It suggests a single action (retrieve and return the minimum cost).</t>
  </si>
  <si>
    <t>The hint does not include any Python code snippet.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</si>
  <si>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insert your code below
    total_costs = {}
    for line in data:
        company_and_rest = line.split(': ')
        if len(company_and_rest) != 2:
            continue
        company_code, rest = company_and_rest
        type_and_amount = rest.split(' ')
        if len(type_and_amount) != 2:
            continue
        charge_type, amount_str = type_and_amount
        try:
            amount = int(amount_str)
        except ValueError:
            continue
        if company_code not in total_costs:
            total_costs[company_code] = 0
        if charge_type in ['Seat', 'Meals', 'Luggage', 'Fee', 'Tax']:
            total_costs[company_code] += amount
        elif charge_type in ['Discount', 'Rebate']:
            total_costs[company_code] -= amount
        else:
            continue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</si>
  <si>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{"hint": "Your code calculates totals but doesn‚Äôt output the minimum cost. Consider adding the step to compute and provide that final value."}</t>
  </si>
  <si>
    <t>3.580667018890381</t>
  </si>
  <si>
    <t>The hint aligns with the expected hint to return the minimum cost at the end.</t>
  </si>
  <si>
    <t>It suggests only a single additional step‚Äîcomputing and returning the minimum value.</t>
  </si>
  <si>
    <t>There is no specific Python code or snippet included in the hint.</t>
  </si>
  <si>
    <t>{"hint": "Your computation looks fine, but you're missing the final step: output the minimum value. Try adding the return statement for the computed minimum cost."}</t>
  </si>
  <si>
    <t>3.5264527797698975</t>
  </si>
  <si>
    <t>The hint aligns with the expected hint, advising the user to return the minimum cost.</t>
  </si>
  <si>
    <t>The hint suggests only a single action: adding the return statement.</t>
  </si>
  <si>
    <t>No Python code snippet is provided, only a textual description.</t>
  </si>
  <si>
    <t>{"hint": "Your cost calculations are on track, but add a step to return the minimum value after processing all records."}</t>
  </si>
  <si>
    <t>3.8902790546417236</t>
  </si>
  <si>
    <t>The hint clearly corresponds to returning the minimum cost, which matches the expected hint‚Äôs intention.</t>
  </si>
  <si>
    <t>It only suggests one step: returning the minimum value.</t>
  </si>
  <si>
    <t>The hint does not contain any Python code snippets.</t>
  </si>
  <si>
    <t>questions/purchase_tickets/2_incomplete.py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</si>
  <si>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Initialize a dictionary to hold the total costs per company
    total_costs = {}
    add_types = {'Seat', 'Meals', 'Luggage', 'Fee', 'Tax'}
    subtract_types = {'Discount', 'Rebate'}
    # Process each line in the data
    for line in data:
        if ': ' not in line:
            continue
        company_code, rest = line.split(': ', 1)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</si>
  <si>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"The solution is incomplete. The code only sets up the data structures and starts parsing the input, but doesn't process amounts or calculate totals. Next immediate step should be parsing cost and amount after splitting the line.",
    "is_complete": false,
    "is_correct": false,
    "errors_or_next_steps": "Missing parsing and processing of cost category and amount after splitting company code",
    "hint": "Look at each line after splitting the company code. You'll need to further split it to get both the cost type and its value."
}</t>
  </si>
  <si>
    <t>3.216480016708374</t>
  </si>
  <si>
    <t>The hint aligns with the expected hint's intention to extract both the cost type and value after the company code has been separated.</t>
  </si>
  <si>
    <t>It suggests a single next step: further splitting the remaining part of the line to get cost type and value.</t>
  </si>
  <si>
    <t>Company code has been extracted, now the cost and item type should be also extracted from rest</t>
  </si>
  <si>
    <t>{
    "thought": "The solution is incomplete. The student has set up the initial structure to process the data, defined the sets for add/subtract types, and started splitting the input lines, but hasn't implemented the cost calculation or return value logic.",
    "is_complete": false,
    "is_correct": false,
    "errors_or_next_steps": "Missing logic to process cost amount and calculate total per company",
    "hint": "After splitting the line, you'll need to separate the cost type and amount, then add or subtract from the company's total based on the category type."
}</t>
  </si>
  <si>
    <t>The given hint matches the expected hint's intention: after extracting the company code, the next step is to parse the cost type and amount from the rest and apply the correct operation.</t>
  </si>
  <si>
    <t>It suggests multiple actions: separating cost type and amount, and then adding or subtracting from the company's total.</t>
  </si>
  <si>
    <t>No explicit code or Python snippets are included in the hint.</t>
  </si>
  <si>
    <t>{
    "thought": "The solution is incomplete as it only parses the input but doesn't calculate costs or find the minimum. The student needs to continue by processing the amount and category after splitting each line.",
    "is_complete": false,
    "is_correct": false,
    "errors_or_next_steps": "Need to parse and process the amount and category from the rest of the line after company code.",
    "hint": "After splitting the company code, you'll need to get the cost type and amount. Try splitting the remaining part of the line to get these values."
}</t>
  </si>
  <si>
    <t>3.8688559532165527</t>
  </si>
  <si>
    <t>The hint accurately aligns with extracting cost type and amount from the remainder of the line after splitting out the company code, matching the expected hint's intention.</t>
  </si>
  <si>
    <t>It suggests a single action (splitting the remaining part of the line) rather than multiple distinct steps.</t>
  </si>
  <si>
    <t>It does not contain explicit Python code or code snippets, only a general instruction to split the line.</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</si>
  <si>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Initialize a dictionary to hold the total costs per company
    total_costs = {}
    add_types = {'Seat', 'Meals', 'Luggage', 'Fee', 'Tax'}
    subtract_types = {'Discount', 'Rebate'}
    # Process each line in the data
    for line in data:
        if ': ' not in line:
            continue
        company_code, rest = line.split(': ', 1)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</si>
  <si>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"The solution is incomplete as it only processes the input lines but doesn't calculate totals or find minimum cost. The code splits company and data but doesn't process amounts or handle categories. No return statement exists.",
    "is_complete": false,
    "is_correct": false,
    "errors_or_next_steps": "Need to process the amount from each record and calculate company totals.",
    "hint_first_draft": "After splitting each line, you'll need to extract the amount and either add or subtract it from the company's total based on the category.",
    "reflection": "The hint should guide them to the next immediate step without giving away the solution. Focus on processing the amount after they've split the line.",
    "hint": "Now that you've split the line, try getting the cost value and updating each company's total based on whether the category adds or subtracts."
}</t>
  </si>
  <si>
    <t>4.695649147033691</t>
  </si>
  <si>
    <t>The given hint aligns with the intention of extracting the cost/value and applying the correct arithmetic based on the item type.</t>
  </si>
  <si>
    <t>It proposes two steps: extracting the cost and applying it (add or subtract) to the company's total.</t>
  </si>
  <si>
    <t>No direct Python code or snippets are shown in the hint.</t>
  </si>
  <si>
    <t>{
    "thought": "The solution is incomplete as it only sets up data structures and splits the input but doesn't process amounts or calculate totals. The next immediate step would be processing the amount part of each record.",
    "is_complete": false,
    "is_correct": false,
    "errors_or_next_steps": "Need to split and process the amount value from each record after company code",
    "hint_first_draft": "Look at each record's last part - you'll need to get that number and add or subtract it from the company's total.",
    "reflection": "The hint should be more conversational and focus on the immediate next step without being too technical",
    "hint": "After splitting the company name, you'll need to grab that number at the end of each line. Think about how to separate the amount from the category!"
}</t>
  </si>
  <si>
    <t>5.324206829071045</t>
  </si>
  <si>
    <t>The given hint and the expected hint both address extracting the cost (amount) and category from the remainder of the line after splitting off the company code.</t>
  </si>
  <si>
    <t>The hint only suggests one main action‚Äîseparating the amount from the category‚Äîwithout mentioning additional distinct steps.</t>
  </si>
  <si>
    <t>{
    "thought": "The solution is incomplete as it only parses the input but doesn't calculate costs or find the minimum. It splits each line into company and rest, but doesn't process amounts or return a result, hence all test cases fail with 'None' output.",
    "is_complete": false,
    "is_correct": false,
    "errors_or_next_steps": "Need to parse the amount and category from each line and calculate company totals",
    "hint_first_draft": "After splitting the company name, you'll need to break down the rest of the line to get the category and amount. Think about how to process those numbers.",
    "reflection": "The hint should be more specific about the immediate next step while staying conversational and not giving away too much code detail.",
    "hint": "I see you've split the company name, but what about the cost information after that? Try breaking down 'Seat 9997' into its parts."
}</t>
  </si>
  <si>
    <t>5.321994066238403</t>
  </si>
  <si>
    <t>The hint aligns with the intention of extracting both cost and item type from the remaining string.</t>
  </si>
  <si>
    <t>Only one action is suggested‚Äîbreaking down the string into 'item' and 'cost', without further steps.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</si>
  <si>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Initialize a dictionary to hold the total costs per company
    total_costs = {}
    add_types = {'Seat', 'Meals', 'Luggage', 'Fee', 'Tax'}
    subtract_types = {'Discount', 'Rebate'}
    # Process each line in the data
    for line in data:
        if ': ' not in line:
            continue
        company_code, rest = line.split(': ', 1)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</si>
  <si>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"thought_on_correctness": "Solution is incorrect as all test cases are failing",
    "thought_on_completeness": "Solution is incomplete, missing core functionality",
    "thought_on_next_steps": "After splitting the line, need to extract and process cost category and amount values",
    "thought_on_errors": "Code stops after splitting company name, doesn't process category and amount",
    "hint_first_draft": "After getting the company code, you'll need to split the remaining part to get both the cost type and the actual amount.",
    "reflection": "Hint focuses on immediate next step without giving away solution, maintains conversational tone, and avoids explicit programming terms",
    "hint": "Looking good so far! Now that you've got the company name, what about breaking down the rest of the line to get both the type and number?"
}</t>
  </si>
  <si>
    <t>4.3987157344818115</t>
  </si>
  <si>
    <t>The hint aligns with the expected intention to extract the remaining data (type and number) from the rest of the line.</t>
  </si>
  <si>
    <t>It only suggests a single step: parsing the type and number, not multiple actions.</t>
  </si>
  <si>
    <t>{
    "thought_on_correctness": "Solution is incorrect as all test cases failed.",
    "thought_on_completeness": "Solution is incomplete. Only parsing of input is started but calculation and finding minimum is missing.",
    "thought_on_next_steps": "After splitting the input line, need to parse cost type and amount, then calculate total for each company.",
    "thought_on_errors": "Code stops after splitting company name, missing handling of cost type and amount.",
    "hint_first_draft": "Look at the rest of the data after company name. You'll need to split it again to get both the cost type and amount.",
    "reflection": "Hint focuses on immediate next step without giving away solution, guides student to parse remaining data.",
    "hint": "After getting the company name, what other pieces of information do you need from each line? Try splitting the remaining part again!"
}</t>
  </si>
  <si>
    <t>4.6082422733306885</t>
  </si>
  <si>
    <t>The given hint aligns with the expected hint of extracting cost and item type from the rest of the line.</t>
  </si>
  <si>
    <t>It only suggests one action: splitting the remaining part again.</t>
  </si>
  <si>
    <t>No specific Python code snippets or methods are provided in the hint.</t>
  </si>
  <si>
    <t>{
    "thought_on_correctness": "Solution is incorrect as all test cases are failing",
    "thought_on_completeness": "Solution is incomplete, only parses the input but doesn't calculate totals or find minimum",
    "thought_on_next_steps": "After splitting the line, need to parse the cost type and amount, then calculate company totals",
    "thought_on_errors": "No calculation logic implemented yet, code stops after splitting company name",
    "hint_first_draft": "You've split the company name, now try extracting the cost type and amount. Remember, amounts after cost types need processing.",
    "reflection": "Hint should focus on immediate next step without giving away solution, while being conversational and avoiding technical terms",
    "hint": "Great start with splitting the company name! Now, what about those numbers after each cost type? They seem important for the final calculation."
}</t>
  </si>
  <si>
    <t>4.706833839416504</t>
  </si>
  <si>
    <t>Both the provided and expected hints focus on extracting the cost details from the remaining string after splitting out the company code.</t>
  </si>
  <si>
    <t>The hint suggests only a single next step: looking at the numbers/cost portion; it does not outline multiple separate actions.</t>
  </si>
  <si>
    <t>```json
{
  "thought_on_correctness": "is solution correct based on the test case results",
  "thought_on_completeness": "is solution complete",
  "thought_on_next_steps": "if solution is incomplete, what is the likely next step",
  "thought_on_errors": "find any errors in the solution",
  "hint_first_draft": "Your solution is incomplete; be sure to compute totals for each company based on the categories.",
  "reflection": "The solution is not providing any output, likely because it is incomplete. Therefore, the next step is to ensure computation of costs.",
  "hint": "Make sure you're summing up costs for each company based on their categories!"
}
```</t>
  </si>
  <si>
    <t>3.174381971359253</t>
  </si>
  <si>
    <t>The hint is about summing costs by categories, whereas the expected hint specifically focuses on extracting the cost and item type from 'rest'.</t>
  </si>
  <si>
    <t>It suggests only one action (summing costs), rather than multiple specific steps.</t>
  </si>
  <si>
    <t>{
  "thought_on_correctness": "is solution correct based on the test case results",
  "thought_on_completeness": "is solution complete",
  "thought_on_next_steps": "process each input line to compute the costs for each company",
  "thought_on_errors": "the solution is incomplete and doesn't calculate costs yet",
  "hint_first_draft": "You need to ensure your solution processes each line to compute the total costs for each company.",
  "reflection": "I assessed the solution's correctness based on test results and identified it as incomplete. Since it doesn't compute costs yet, I focused on guiding the next step related to processing data.",
  "hint": "Make sure to compute and update the total costs for each company as you process the input."
}</t>
  </si>
  <si>
    <t>2.4579668045043945</t>
  </si>
  <si>
    <t>The hint points to the next logical step of computing totals after extracting the company code, which aligns with the expected focus on handling cost information.</t>
  </si>
  <si>
    <t>It references computing and updating costs as a single step and does not suggest any additional separate actions.</t>
  </si>
  <si>
    <t>{
  "thought_on_correctness": "incorrect",
  "thought_on_completeness": "incomplete",
  "thought_on_next_steps": "implement the cost calculation logic in the loop",
  "thought_on_errors": "no syntax errors, but missing functionality",
  "hint_first_draft": "Don't forget to add logic to compute the company's total cost as you process each record.",
  "reflection": "The solution isn't returning any output and lacks logic for processing costs, which is crucial for correctness. I've highlighted the need to implement cost calculation for each company.",
  "hint": "Don't forget to add logic to compute the company's total cost as you process each record."
}</t>
  </si>
  <si>
    <t>2.4532768726348877</t>
  </si>
  <si>
    <t>The provided hint focuses on computing total cost, but does not address extracting both cost and item type from the 'rest' string as the expected hint suggests.</t>
  </si>
  <si>
    <t>The hint only suggests a single step (computing total cost) rather than multiple actions.</t>
  </si>
  <si>
    <t>```json
{
  "thought": "The solution is incorrect since none of the test cases pass. The code is also incomplete as the calculation logic is missing. A key step missing is extracting and utilizing the cost and category information to adjust company totals.",
  "is_complete": false,
  "is_correct": false,
  "errors_or_next_steps": "Extract cost and cost category details from each record.",
  "hint": "You've started well, but focus on extracting both the cost category and the amount from the remaining string after the company code."
}
```</t>
  </si>
  <si>
    <t>3.0290591716766357</t>
  </si>
  <si>
    <t>The hint aligns with the intention to focus on parsing the category and amount after extracting the company code.</t>
  </si>
  <si>
    <t>It calls for extracting both category and amount but frames it as one parsing action rather than multiple distinct steps.</t>
  </si>
  <si>
    <t>```json
{
  "thought": "The test cases indicate that the solution is incorrect since none passed. The code is incomplete, lacking the logic to process and update the total costs for each company, as well as finding the minimum value.",
  "is_complete": false,
  "is_correct": false,
  "errors_or_next_steps": "The solution stops after splitting the input line; it doesn‚Äôt update the total costs.",
  "hint": "After splitting the line, calculate the running total for each company by adding or subtracting the amounts as needed."
}
```</t>
  </si>
  <si>
    <t>2.8675808906555176</t>
  </si>
  <si>
    <t>The hint focuses on performing the calculation (adding/subtracting) without explicitly mentioning how to extract the cost and item type from 'rest', which is the core intention of the expected hint.</t>
  </si>
  <si>
    <t>It suggests essentially one action (calculating a running total) rather than breaking down multiple steps (e.g., parsing cost separately, determining item type separately).</t>
  </si>
  <si>
    <t>It does not include any sample Python code or code snippets.</t>
  </si>
  <si>
    <t>```json
{
  "thought": "The solution is incorrect since none of the test cases passed and all returned 'None'. This implies the function isn't returning a value. The student's solution is incomplete as it stops after checking the input format without fully implementing the cost calculation or returning a result.",
  "is_complete": false,
  "is_correct": false,
  "errors_or_next_steps": "The function should calculate total costs and ensure to return a value.",
  "hint": "Make sure to process each record to adjust the company's cost and return the final minimum cost."
}
```</t>
  </si>
  <si>
    <t>3.274325132369995</t>
  </si>
  <si>
    <t>The provided hint focuses on adjusting the company's cost and returning the minimum, whereas the expected hint specifically instructs to extract cost and item type from 'rest'. They do not closely match in intention.</t>
  </si>
  <si>
    <t>The hint suggests two separate actions: processing each record to adjust cost and then returning the minimum cost.</t>
  </si>
  <si>
    <t>```json
{
  "thought": "The student's solution fails to produce any output as indicated by 'actualOutput': 'None', suggesting there might be an issue with returning the result. The code looks incomplete as it doesn't contain logic to compute and return results.",
  "is_complete": false,
  "is_correct": false,
  "errors_or_next_steps": "The function should extract cost values and update company totals.",
  "hint_first_draft": "Ensure your code extracts cost values and updates company totals properly to compute the final result.",
  "reflection": "Focusing on extracting and updating costs is crucial to ensure the function completes its logic to compute result.",
  "hint": "Ensure your code extracts cost values and updates company totals properly to compute the final result."
}
```</t>
  </si>
  <si>
    <t>3.6887741088867188</t>
  </si>
  <si>
    <t>The hint aligns with the intent to extract cost values from the remaining string and update totals accordingly.</t>
  </si>
  <si>
    <t>It instructs both extracting cost values and updating the totals‚Äîtwo distinct steps.</t>
  </si>
  <si>
    <t>```json
{
  "thought": "The student's solution is incorrect because all test cases failed. The solution is incomplete since the function ends abruptly after splitting the lines. The next step should be processing the cost types and values after extracting them from each line.",
  "is_complete": false,
  "is_correct": false,
  "errors_or_next_steps": "Extract and process cost values after splitting each line.",
  "hint_first_draft": "Try extracting and processing the cost values after splitting the lines.",
  "reflection": "The hint focuses on the next step needed in the student's logic. The core issue is that they haven't processed the cost values yet.",
  "hint": "Try extracting and processing the cost values after splitting the lines."
}
```</t>
  </si>
  <si>
    <t>The hint only addresses extracting and processing cost values, whereas the expected hint explicitly includes extracting the item type as well.</t>
  </si>
  <si>
    <t>It suggests only one main action (extracting and processing costs), not multiple distinct steps.</t>
  </si>
  <si>
    <t>The hint does not include any Python code snippets or references.</t>
  </si>
  <si>
    <t>```json
{
  "thought": "The solution is incorrect as no test cases passed. The solution seems incomplete because it stops at parsing and does not compute costs or return any result. The immediate next step should be to continue processing after parsing each line.",
  "is_complete": false,
  "is_correct": false,
  "errors_or_next_steps": "Continue with cost calculation for each company after parsing.",
  "hint_first_draft": "After parsing, proceed to calculate and update the cost for each company.",
  "reflection": "The key issue is stopping at parsing without proceeding to calculation. The hint focuses on progress by emphasizing the next computational step.",
  "hint": "After parsing, proceed to calculate and update the cost for each company."
}
```</t>
  </si>
  <si>
    <t>3.8895058631896973</t>
  </si>
  <si>
    <t>The provided hint focuses only on updating cost and does not mention extracting the cost and item type from 'rest', which is the key point of the expected hint.</t>
  </si>
  <si>
    <t>It suggests a single broad step (calculating/updating cost) without detailing or splitting into multiple actions.</t>
  </si>
  <si>
    <t>```json
{
  "thought_on_correctness": "The solution is incorrect based on the test case results, as none of the test cases passed.",
  "thought_on_completeness": "The solution is incomplete. It lacks the logic to process each record fully and calculate the total final costs.",
  "thought_on_next_steps": "The likely next step is to continue processing the record by handling the cost and category to update the company's total cost.",
  "thought_on_errors": "There is a logical error as the solution does not handle processing costs correctly.",
  "hint_first_draft": "Make sure to process the remaining part after splitting each line to update the company costs accordingly.",
  "reflection": "The hint focuses on the immediate action of completing the logic to handle each record correctly by updating the company's total costs.",
  "hint": "Ensure you handle the cost and category for each record to update the company's total costs correctly."
}
```</t>
  </si>
  <si>
    <t>4.562091112136841</t>
  </si>
  <si>
    <t>It aligns with the expected hint of extracting cost and category (item type) from 'rest' and using them to update totals.</t>
  </si>
  <si>
    <t>The hint effectively describes a single combined step (extract and update) rather than multiple separate actions.</t>
  </si>
  <si>
    <t>```json
{
    "thought_on_correctness": "Solution is incorrect based on the test case results.",
    "thought_on_completeness": "Solution is incomplete.",
    "thought_on_next_steps": "The next step is to complete looping through each record to update cost totals.",
    "thought_on_errors": "The solution is not processing the records to update cost totals.",
    "hint_first_draft": "Continue developing your function to process and categorize each line's values.",
    "reflection": "The solution needs to handle parsing each line to determine the company and cost impact. The hint directs the student to focus on completing the parsing and categorization logic.",
    "hint": "Continue developing your function to process and categorize each line's values."
}
```</t>
  </si>
  <si>
    <t>4.291928052902222</t>
  </si>
  <si>
    <t>Although the hint is more general, it still directs the user to proceed with processing the remaining data (which includes extracting cost and item type).</t>
  </si>
  <si>
    <t>It only provides a single high-level directive to continue with categorizing values rather than multiple distinct steps.</t>
  </si>
  <si>
    <t>```json
{
  "thought_on_correctness": "The solution is incorrect based on the test case results, as it did not produce any expected outputs.",
  "thought_on_completeness": "The solution is incomplete. It only processes input lines without calculating or returning any results.",
  "thought_on_next_steps": "The next step should involve parsing the amount and type, categorizing them correctly, and updating a running total for each company.",
  "thought_on_errors": "The code does not contain errors but lacks critical steps for computation and returning a result.",
  "hint_first_draft": "Ensure you are updating the company's total based on the category type and returning the minimum final cost.",
  "reflection": "The student needs to focus on the critical step of calculating total costs per company. The hint should guide them to update the costs using the category type.",
  "hint": "Ensure you are updating the company's total based on the category type and returning the minimum final cost."
}
```</t>
  </si>
  <si>
    <t>5.266308069229126</t>
  </si>
  <si>
    <t>The hint focuses on updating totals and returning the minimum final cost, while the expected hint explicitly addresses extracting the cost and item type from 'rest', so the intentions do not align.</t>
  </si>
  <si>
    <t>The hint suggests two actions: updating the totals based on category type and returning the minimum final cost.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</si>
  <si>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Initialize a dictionary to hold the total costs per company
    total_costs = {}
    add_types = {'Seat', 'Meals', 'Luggage', 'Fee', 'Tax'}
    subtract_types = {'Discount', 'Rebate'}
    # Process each line in the data
    for line in data:
        if ': ' not in line:
            continue
        company_code, rest = line.split(': ', 1)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</si>
  <si>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{"hint": "Your code stops after splitting the line. Try splitting the rest of the line into cost type and amount, then use that to update each company‚Äôs cost."}</t>
  </si>
  <si>
    <t>7.974493026733398</t>
  </si>
  <si>
    <t>The hint aligns with the expected guidance to extract both the cost type and amount from 'rest' after extracting the company code.</t>
  </si>
  <si>
    <t>It specifies splitting the remaining string and then using that information to update each company's cost, which are two distinct actions.</t>
  </si>
  <si>
    <t>No actual Python code snippet is provided; the hint only gives a general instruction.</t>
  </si>
  <si>
    <t>{"hint": "You're off to a start. Next, extract and parse the cost category and amount from the record's remainder, then update the totals accordingly."}</t>
  </si>
  <si>
    <t>The hint matches the intention of extracting the cost category and amount from the remainder, similar to the expected hint.</t>
  </si>
  <si>
    <t>It suggests two actions: extract/parse cost details and update totals.</t>
  </si>
  <si>
    <t>{"hint": "Your solution is incomplete. After splitting the line into company code and the rest, you need to further split the rest to get the cost type and amount, then update the totals accordingly."}</t>
  </si>
  <si>
    <t>3.124631881713867</t>
  </si>
  <si>
    <t>The hint aligns with the expected objective of extracting the cost type and amount after obtaining the company code.</t>
  </si>
  <si>
    <t>It suggests two distinct actions: splitting the rest and updating totals.</t>
  </si>
  <si>
    <t>No explicit Python code (e.g., no use of .split or variable assignments) is provided.</t>
  </si>
  <si>
    <t>questions/purchase_tickets/3_incomplete.py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</si>
  <si>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total_costs = {}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</si>
  <si>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"The solution is incomplete as only the dictionary initialization is done. The student needs guidance on processing the input data, starting with parsing each record into company, category, and amount.",
    "is_complete": false,
    "is_correct": false,
    "errors_or_next_steps": "Missing logic to parse input records and extract company, category, and amount information",
    "hint": "Each line has three parts separated by spaces and colons. Try splitting each record to get these individual pieces first."
}</t>
  </si>
  <si>
    <t>3.664726734161377</t>
  </si>
  <si>
    <t>The hint aligns with the intent of extracting relevant information from each line by splitting it into parts.</t>
  </si>
  <si>
    <t>The hint only suggests a single action‚Äîsplitting each record‚Äîrather than multiple steps.</t>
  </si>
  <si>
    <t>So far only total costs dictionary has been initialised, next step it to iterate over the input data and extract relavant information</t>
  </si>
  <si>
    <t>{
    "thought": "The solution is incomplete as it only declares an empty dictionary. The next step would be to process each line of input data to accumulate costs by company.",
    "is_complete": false,
    "is_correct": false,
    "errors_or_next_steps": "Need to process each line of input data and split it into company, category, and amount",
    "hint": "Try splitting each input line by ':' and space to separate the company name, cost category, and amount. Then you can start tracking each company's costs."
}</t>
  </si>
  <si>
    <t>3.0242931842803955</t>
  </si>
  <si>
    <t>The hint aligns with the expected hint by instructing how to extract the relevant information (company name, category, amount) from each line in order to track costs.</t>
  </si>
  <si>
    <t>It proposes splitting the line and then starting to track costs‚Äîeffectively two distinct next steps.</t>
  </si>
  <si>
    <t>It does not present explicit Python code or snippets, only a conceptual strategy (split by ':' and space).</t>
  </si>
  <si>
    <t>{
    "thought": "The solution is incomplete as it only has a dictionary initialized but no processing logic. The student needs to start by processing the input strings to extract company, category, and amount information.",
    "is_complete": false,
    "is_correct": false,
    "errors_or_next_steps": "Need to process input strings by splitting them to extract company, category, and amount",
    "hint": "Start by breaking down each record into its parts. Look at how the colon and space separate the important pieces of information in each line."
}</t>
  </si>
  <si>
    <t>3.3806557655334473</t>
  </si>
  <si>
    <t>The hint aligns with the expected intention to parse the input data and extract relevant information.</t>
  </si>
  <si>
    <t>It only suggests one action‚Äîbreaking each record into parts‚Äîrather than multiple distinct steps.</t>
  </si>
  <si>
    <t>It does not include actual Python code or snippets, only a general suggestion to observe and split by ':' and space.</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</si>
  <si>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total_costs = {}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</si>
  <si>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"The solution is clearly incomplete as only an empty dictionary is defined. The student needs guidance on processing the input data structure first. The most immediate step is to parse each record into company, category, and amount.",
    "is_complete": false,
    "is_correct": false,
    "errors_or_next_steps": "Need to parse each input record to extract company, category, and amount",
    "hint_first_draft": "Try splitting each line to separate the company name, category, and amount. Look at the pattern - they're separated by specific characters.",
    "reflection": "The hint could be more conversational and focused on the pattern observation rather than technical terms.",
    "hint": "Look at how each line is structured - there's a pattern with a company name, followed by what they're charging for, and then a number. How could you break that up?"
}</t>
  </si>
  <si>
    <t>5.221353054046631</t>
  </si>
  <si>
    <t>The hint aligns with the intention of parsing each line to extract relevant information, which matches the expected next step.</t>
  </si>
  <si>
    <t>It only suggests one action‚Äîbreaking up each line‚Äîrather than multiple distinct steps.</t>
  </si>
  <si>
    <t>{
    "thought": "Looking at the solution, I see the student has only initialized an empty dictionary but hasn't implemented any logic. They need to process each record, split the input strings, and track costs per company.",
    "is_complete": false,
    "is_correct": false,
    "errors_or_next_steps": "Need to parse input strings and separate company name, category, and amount",
    "hint_first_draft": "Start by splitting each input string into its components. Each line has three parts separated by colons and spaces.",
    "reflection": "The hint should be more conversational and avoid technical terms. Better to focus on the structure of the input data in a friendly way.",
    "hint": "Let's begin by breaking down each line of your input. Notice how each record has three pieces of information separated by specific marks?"
}</t>
  </si>
  <si>
    <t>5.004420757293701</t>
  </si>
  <si>
    <t>The hint aligns with the intent of parsing the input data and identifying the relevant pieces of information, matching the expected suggestion to iterate over the data and extract details.</t>
  </si>
  <si>
    <t>The hint suggests only one action‚Äîbreaking down each line‚Äîwithout offering multiple actions or steps.</t>
  </si>
  <si>
    <t>{
    "thought": "The solution is incomplete as only an empty dictionary is defined. The student needs guidance on how to start processing the input data to track costs by company.",
    "is_complete": false,
    "is_correct": false,
    "errors_or_next_steps": "Need to process each record in the input list and split it into company, category, and amount",
    "hint_first_draft": "Let's start by breaking down each record. Each line contains three pieces of information separated by ':' and space. Try extracting these pieces first.",
    "reflection": "The hint focuses on the immediate next step without giving away too much code. It helps them understand how to parse the input data.",
    "hint": "Each line has important info separated by specific markers. Start by splitting up one line to get the company, type, and amount separately."
}</t>
  </si>
  <si>
    <t>4.705328941345215</t>
  </si>
  <si>
    <t>The hint aligns with the expected next step, which is to iterate and extract relevant information from each line.</t>
  </si>
  <si>
    <t>It only suggests one action: splitting the line to obtain company, type, and amount.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</si>
  <si>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total_costs = {}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</si>
  <si>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"thought_on_correctness": "Solution is incorrect as all test cases failed",
    "thought_on_completeness": "Solution is incomplete, only dictionary initialization is done",
    "thought_on_next_steps": "Need to process each record by splitting the input string into company, category, and amount",
    "thought_on_errors": "No processing logic implemented yet",
    "hint_first_draft": "First step is to break down each record. Look at how you can split 'AAA: Seat 9997' into its parts.",
    "reflection": "Hint focuses on immediate next step, avoids giving direct solution, and uses an example to illustrate the concept",
    "hint": "Try breaking down each line into three parts using the colon and space. What separates the company name from the cost type and amount?"
}</t>
  </si>
  <si>
    <t>4.1960320472717285</t>
  </si>
  <si>
    <t>The hint aligns with the next step of parsing each line to extract relevant information, which matches the intended hint.</t>
  </si>
  <si>
    <t>It only suggests a single action‚Äîsplitting the line based on delimiters‚Äîand does not propose multiple steps.</t>
  </si>
  <si>
    <t>{
    "thought_on_correctness": "Solution is incorrect as all test cases failed",
    "thought_on_completeness": "Solution is incomplete, only dictionary initialization is done",
    "thought_on_next_steps": "Need to parse each record line to extract company name, category, and amount",
    "thought_on_errors": "No processing logic implemented yet",
    "hint_first_draft": "Look at each line of input. Notice how it's formatted? Try splitting each line to get the company name, category, and amount separately.",
    "reflection": "Hint focuses on immediate next step, avoids giving direct solution, and guides student towards parsing the input data which is the logical first step",
    "hint": "Each record follows a pattern: 'Company: Category Amount'. Try breaking down each line into these three pieces first."
}</t>
  </si>
  <si>
    <t>4.295027017593384</t>
  </si>
  <si>
    <t>The hint aligns with the expected goal of parsing the input data into three components (company, category, amount).</t>
  </si>
  <si>
    <t>It only suggests one primary action: splitting each line into three parts.</t>
  </si>
  <si>
    <t>{
    "thought_on_correctness": "Solution is incorrect as all test cases failed",
    "thought_on_completeness": "Solution is incomplete as it only has the dictionary initialization",
    "thought_on_next_steps": "Need to parse each input line to extract company name, category, and amount from the records",
    "thought_on_errors": "No processing logic implemented yet",
    "hint_first_draft": "Let's start by breaking down each line of input. Try splitting each record to get the company name, category, and amount separately.",
    "reflection": "Hint is specific, actionable, and focuses on immediate next step without giving away code. It's concise and conversational.",
    "hint": "Each line has information separated by colons and spaces. How about breaking down 'AAA: Seat 9997' into its parts first?"
}</t>
  </si>
  <si>
    <t>4.305340051651001</t>
  </si>
  <si>
    <t>The hint aligns with the intention to extract information from each line, which is part of the expected next step.</t>
  </si>
  <si>
    <t>It only suggests a single action: splitting the line into parts.</t>
  </si>
  <si>
    <t>{
  "thought_on_correctness": "incorrect",
  "thought_on_completeness": "incomplete",
  "thought_on_next_steps": "complete the processing logic to calculate total costs",
  "thought_on_errors": "",
  "hint_first_draft": "You need to add the logic to process each record correctly and calculate the total costs for each company.",
  "reflection": "The solution didn‚Äôt produce any output, indicating it's incomplete. I focused on suggesting the immediate next step to define the processing logic.",
  "hint": "Add logic to process each record and calculate the total costs."
}</t>
  </si>
  <si>
    <t>2.0508999824523926</t>
  </si>
  <si>
    <t>Both the provided hint and the expected hint focus on iterating over the data and updating total costs, matching in intention.</t>
  </si>
  <si>
    <t>The hint instructs to 'add logic' generally, which is effectively a single action (process each record and compute costs) without detailing multiple distinct steps.</t>
  </si>
  <si>
    <t>{
  "thought_on_correctness": "The solution is incorrect based on the test case results.",
  "thought_on_completeness": "The solution is incomplete.",
  "thought_on_next_steps": "You need to implement the logic to process the records and calculate the costs.",
  "thought_on_errors": "",
  "hint_first_draft": "Make sure to add a loop to go through each record and compute the costs.",
  "reflection": "The solution did not pass any test cases, indicating it's incomplete. I focused on directing the student to take an immediate action to implement the processing loop.",
  "hint": "Make sure to loop through each record to properly calculate the total costs."
}</t>
  </si>
  <si>
    <t>2.8632149696350098</t>
  </si>
  <si>
    <t>The hint aligns with the next step of iterating over the data to compute total costs, matching the expected hint's intention.</t>
  </si>
  <si>
    <t>Only one action is suggested: looping through each record. No additional steps are mentioned.</t>
  </si>
  <si>
    <t>{
  "thought_on_correctness": "is solution correct based on the test case results",
  "thought_on_completeness": "is solution complete",
  "thought_on_next_steps": "if solution is incomplete, what is the likely next step",
  "thought_on_errors": "find any errors in the solution",
  "hint_first_draft": "It looks like you haven't returned any value from your function yet. Make sure to compute the final cost and return it!",
  "reflection": "The solution is incomplete since no output is provided. The next logical step is to calculate and return a value.",
  "hint": "It looks like you haven't returned any value from your function yet. Make sure to compute the final cost and return it!"
}</t>
  </si>
  <si>
    <t>3.073137044906616</t>
  </si>
  <si>
    <t>The provided hint focuses on returning a final value, while the expected hint focuses on iterating over the data and extracting relevant information. These intentions do not align.</t>
  </si>
  <si>
    <t>The hint essentially suggests a single action (compute and return the final cost). It does not outline multiple distinct steps.</t>
  </si>
  <si>
    <t>No Python code snippets or specific function calls are provided in the hint.</t>
  </si>
  <si>
    <t>```json
{
  "thought": "The provided solution doesn't execute correctly as it outputs 'None' for all test cases, which indicates that the function doesn't return any result yet. This suggests the solution is incomplete as it lacks the implementation logic to compute the costs.",
  "is_complete": false,
  "is_correct": false,
  "errors_or_next_steps": "The solution lacks implementation that calculates costs based on categories.",
  "hint": "Try adding logic that reads and processes each line, updating company total costs accordingly."
}
```</t>
  </si>
  <si>
    <t>2.657731294631958</t>
  </si>
  <si>
    <t>The hint aligns with the expected hint's intention to iterate over the input and update the dictionary.</t>
  </si>
  <si>
    <t>It suggests a single next action (read and process lines).</t>
  </si>
  <si>
    <t>```json
{
  "thought": "The student's solution is incorrect as all test cases failed, resulting in 'None' due to no logic implementation. The solution is incomplete, with only a variable initialized. The next step is to implement logic to compute costs using provided inputs.",
  "is_complete": false,
  "is_correct": false,
  "errors_or_next_steps": "Implement logic to parse input and calculate costs.",
  "hint": "Start by iterating over the input records, parse them, and update total costs for each company."
}
```</t>
  </si>
  <si>
    <t>2.1481831073760986</t>
  </si>
  <si>
    <t>The hint aligns with the expected hint, as it instructs iterating over data and then updating the dictionary with relevant information.</t>
  </si>
  <si>
    <t>It outlines multiple steps: iterating over records, parsing them, and updating costs.</t>
  </si>
  <si>
    <t>```json
{
  "thought": "The solution is incorrect since none of the test cases passed. The implementation seems incomplete as it only declares a dictionary but does not process the input list. The immediate next step is to start iterating over the data to accumulate costs per company.",
  "is_complete": false,
  "is_correct": false,
  "errors_or_next_steps": "Process each record from the input list to populate total_costs based on category.",
  "hint": "Start processing each record in the data to calculate the costs for each company."
}
```</t>
  </si>
  <si>
    <t>3.175839900970459</t>
  </si>
  <si>
    <t>The hint aligns with the expected action of iterating over the data and computing costs for each company.</t>
  </si>
  <si>
    <t>It only suggests one step (iterating over the data) without outlining multiple actions or sub-tasks.</t>
  </si>
  <si>
    <t>```json
{
  "thought": "The student's solution is incorrect as all test cases failed. The solution seems incomplete since it only declares a dictionary and does not process the data. The next step should focus on processing each entry in the input list to update the company's cost.",
  "is_complete": false,
  "is_correct": false,
  "errors_or_next_steps": "Process each entry to update company costs.",
  "hint_first_draft": "Start by processing each input entry to update the company's total cost in your dictionary.",
  "reflection": "The solution is clearly incomplete as it doesn't go beyond initializing a dictionary. The provided hint focuses on the immediate next step: processing each record to update costs, which is crucial for completing the solution.",
  "hint": "Start by processing each input entry to update the company's total cost in your dictionary."
}
```</t>
  </si>
  <si>
    <t>3.8093481063842773</t>
  </si>
  <si>
    <t>The hint aligns with the expectation: both suggest iterating over data and updating the dictionary accordingly.</t>
  </si>
  <si>
    <t>The hint proposes a single action (processing entries to update costs) rather than multiple distinct steps.</t>
  </si>
  <si>
    <t>```json
{
  "thought": "The solution is incorrect as it doesn't return the expected outputs. The function lacks essential logic to compute costs based on categories. The first step is to develop logic to process and update costs by company based on their records.",
  "is_complete": false,
  "is_correct": false,
  "errors_or_next_steps": "The solution does not implement logic to calculate and compare company costs.",
  "hint_first_draft": "Start by implementing logic to parse each record and update the total cost for each company.",
  "reflection": "The hint should guide the student towards creating a mechanism to process input records, as the current solution doesn't perform any calculations.",
  "hint": "Start by implementing logic to parse each record and update the total cost for each company."
}
```</t>
  </si>
  <si>
    <t>3.756561279296875</t>
  </si>
  <si>
    <t>Both the given and the expected hint revolve around parsing each record in the input data and updating the total costs dictionary for each company.</t>
  </si>
  <si>
    <t>It suggests a single step (parse each record and update costs) rather than multiple distinct next steps.</t>
  </si>
  <si>
    <t>```json
{
  "thought": "The solution is incorrect as none of the test cases passed. The implementation is incomplete since the student only initialized a dictionary without any logic to process the input data. The immediate next step is to iterate over the input data to start accumulating costs.",
  "is_complete": false,
  "is_correct": false,
  "errors_or_next_steps": "Need to iterate over input data to process the amounts.",
  "hint_first_draft": "Try iterating over the input data to process and categorize the amounts for each company.",
  "reflection": "The hint is aligned with the incomplete nature of the current implementation. Suggesting the immediate action of iterating over data will help the student make progress.",
  "hint": "Try iterating over the input data to process and categorize the amounts for each company."
}
```</t>
  </si>
  <si>
    <t>3.7849411964416504</t>
  </si>
  <si>
    <t>The hint aligns with the idea of iterating over 'data' and processing information for the dictionary, matching the expected next step.</t>
  </si>
  <si>
    <t>It only suggests a single main action (iteration) and does not explicitly delineate multiple distinct steps.</t>
  </si>
  <si>
    <t>```json
{
  "thought_on_correctness": "The solution is incorrect based on the test case results.",
  "thought_on_completeness": "The solution is incomplete.",
  "thought_on_next_steps": "The immediate next step is to implement logic that processes the list by splitting each entry into company, category, and amount.",
  "thought_on_errors": "The function currently doesn't process any logic to compute the total costs for each company.",
  "hint_first_draft": "Start by iterating through the list, breaking each entry into company, category, and amount parts.",
  "reflection": "The test results indicate no operations are performed. The solution lacks functionality to process data. The hint guides the student to begin with data parsing, as handling entries is crucial.",
  "hint": "Start by iterating through the list, breaking each entry into company, category, and amount parts."
}
```</t>
  </si>
  <si>
    <t>5.116675853729248</t>
  </si>
  <si>
    <t>The hint aligns with the expected next step of iterating through the list and extracting relevant information.</t>
  </si>
  <si>
    <t>It only suggests one primary step of iterating and splitting entries, which can be done in a single code snippet.</t>
  </si>
  <si>
    <t>```json
{
  "thought_on_correctness": "is solution correct based on the test case results",
  "thought_on_completeness": "is solution complete",
  "thought_on_next_steps": "if solution is incomplete, what is the likely next step",
  "thought_on_errors": "find any errors in the solution",
  "hint_first_draft": "Start by iterating over each record in the input data to update each company's total in a dictionary.",
  "reflection": "Given the empty function body, it's clear that the student hasn't implemented the logic to process records yet. The hint should guide them to begin with basic iteration and data handling.",
  "hint": "Start by iterating over each record in the input data to update each company's total in a dictionary."
}
```</t>
  </si>
  <si>
    <t>The hint precisely matches the expected action: iterating over the input data and updating the totals dictionary.</t>
  </si>
  <si>
    <t>It only gives a single action: iterate over each record to update the dictionary.</t>
  </si>
  <si>
    <t>It doesn't provide specific code snippets or Python code.</t>
  </si>
  <si>
    <t>```json
{
  "thought_on_correctness": "The solution is incorrect based on the test case results as it returns 'None' and does not pass any test cases.",
  "thought_on_completeness": "The solution is incomplete because it does not process any data to compute the costs.",
  "thought_on_next_steps": "The next step would be to parse each record in the list to start tracking the costs associated with each company.",
  "thought_on_errors": "The main issue is that the function does not contain any logic to process the input data.",
  "hint_first_draft": "Begin by iterating through the list and extracting company names and their respective costs to calculate totals.",
  "reflection": "The given hint focuses on prompting the student to start processing the data they receive. This is crucial as the current solution has no logic to handle the input, which is why all test cases failed.",
  "hint": "Begin by iterating through the list and extracting company names and their respective costs to calculate totals."
}
```</t>
  </si>
  <si>
    <t>4.969144105911255</t>
  </si>
  <si>
    <t>The hint aligns with the expected step of iterating through the input data to extract relevant information and populate the dictionary.</t>
  </si>
  <si>
    <t>It only proposes one main action ‚Äì iterating over the data and extracting values.</t>
  </si>
  <si>
    <t>It does not include a code snippet or specific Python details.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</si>
  <si>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total_costs = {}
Test Case Results:
{'testCases': [{'actualOutput': 'None', 'passed': False, 'userPrints': '', 'testCase': {'input': ['AAA: Seat 9997', 'BBB: Discount 2886', 'DDD: Luggage 3500', 'CCC: Fee 9468', 'BBB: Fee 9378', 'AAA: Discount 3103'], 'expectedOutput': 3500, 'description': 'Basic test'}}, {'actualOutput': 'None',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'None',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</si>
  <si>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"hint": "Your solution is incomplete. Start by iterating over each record to parse the company name, cost type, and value, then update the company‚Äôs total by adding or subtracting based on the type."
}</t>
  </si>
  <si>
    <t>The hint aligns with the expected step (iterating over the data and extracting information).</t>
  </si>
  <si>
    <t>The hint recommends a single action (iterate and update totals), which can be implemented in fewer than 3 lines of code in a loop.</t>
  </si>
  <si>
    <t>{"hint": "Your solution is incomplete. Begin by looping through each record to update the running totals, properly adding or subtracting values based on each category type."}</t>
  </si>
  <si>
    <t>4.097607135772705</t>
  </si>
  <si>
    <t>The hint closely aligns with the expected hint to iterate over the input data and update totals, which matches the intention.</t>
  </si>
  <si>
    <t>It advises looping and updating totals, which is effectively a single next step that can be done in just a few lines of code.</t>
  </si>
  <si>
    <t>{"hint": "You're off to a start. Next, parse each record to extract the company, cost type, and amount, then update your totals using the correct arithmetic before returning the minimum value."}</t>
  </si>
  <si>
    <t>4.093130826950073</t>
  </si>
  <si>
    <t>The hint aligns with the expected hint: it suggests iterating over each record and extracting the relevant information before updating totals.</t>
  </si>
  <si>
    <t>It suggests multiple actions: parsing each record, updating totals, and then returning the minimum value.</t>
  </si>
  <si>
    <t>questions/purchase_tickets/1_logical.py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</si>
  <si>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insert your code below
    total_costs = {}
    for line in data:
        company_and_rest = line.split(': ')
        if len(company_and_rest) != 2:
            continue
        company_code, rest = company_and_rest
        type_and_amount = rest.split(' ')
        if len(type_and_amount) != 2:
            continue
        charge_type, amount_str = type_and_amount
        try:
            amount = int(amount_str)
        except ValueError:
            continue
        if company_code not in total_costs:
            total_costs[company_code] = 0
        if charge_type in ['Seat', 'Meals', 'Luggage', 'Fee', 'Tax']:
            total_costs[company_code] -= amount
        elif charge_type in ['Discount', 'Rebate']:
            total_costs[company_code] += amount
        else:
            continue
    if not total_costs:
        return 0
    else:
        min_cost = min(total_costs.values())
        return min_cost
Test Case Results:
{'testCases': [{'actualOutput': '-9468', 'passed': False, 'userPrints': '', 'testCase': {'input': ['AAA: Seat 9997', 'BBB: Discount 2886', 'DDD: Luggage 3500', 'CCC: Fee 9468', 'BBB: Fee 9378', 'AAA: Discount 3103'], 'expectedOutput': 3500, 'description': 'Basic test'}}, {'actualOutput': '-9468',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'-7300',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</si>
  <si>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"The solution is complete but incorrect. The main logical error is in how costs are added/subtracted. The student is subtracting when they should be adding for regular costs (Seat, Meals, etc.) and adding when they should be subtracting for discounts.",
    "is_complete": true,
    "is_correct": false,
    "errors_or_next_steps": "Cost calculation logic is reversed for all types of charges",
    "hint": "Double-check your math operations. When you see 'Seat' or 'Fee', should you really be reducing the total? Think about what discounts do to a total cost."
}</t>
  </si>
  <si>
    <t>3.722992181777954</t>
  </si>
  <si>
    <t>The hint correctly points out that costs are being subtracted and discounts are added, matching the expected hint.</t>
  </si>
  <si>
    <t>It suggests only one action: reviewing the math operations for costs and discounts.</t>
  </si>
  <si>
    <t>There is an error. Costs are being subtracted and discounts are being added</t>
  </si>
  <si>
    <t>{
    "thought": "Looking at the solution and test results, I notice the student has reversed the logic for adding/subtracting costs. They're subtracting when they should add and adding when they should subtract.",
    "is_complete": true,
    "is_correct": false,
    "errors_or_next_steps": "Addition/subtraction logic is reversed for cost categories",
    "hint": "Check your math! Think about it: when you have a Seat cost, should that make your total go up or down? You might be doing the opposite of what you want."
}</t>
  </si>
  <si>
    <t>3.6843438148498535</t>
  </si>
  <si>
    <t>The hint clearly points out that costs are being reversed (costs subtracted instead of added), matching the expected hint's intention.</t>
  </si>
  <si>
    <t>It only suggests one fix (to flip the sign on cost items), not multiple distinct steps.</t>
  </si>
  <si>
    <t>{
    "thought": "The solution is complete but incorrect. The main logical error is that the student is subtracting costs when they should be adding them, and adding discounts when they should be subtracting them. They've reversed the arithmetic operations.",
    "is_complete": true,
    "is_correct": false,
    "errors_or_next_steps": "Operations for costs and discounts are reversed",
    "hint": "Think about the math: when you spend money, your total goes up, and when you get a discount, your total goes down. Are your additions and subtractions doing the right thing?"
}</t>
  </si>
  <si>
    <t>3.3822479248046875</t>
  </si>
  <si>
    <t>The provided hint and the expected hint both focus on the fact that costs should be added and discounts subtracted, so they match in intention.</t>
  </si>
  <si>
    <t>The hint only suggests one overarching step‚Äîverifying addition and subtraction logic‚Äîand does not outline multiple separate actions.</t>
  </si>
  <si>
    <t>The hint does not contain any specific Python code or code snippets.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</si>
  <si>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insert your code below
    total_costs = {}
    for line in data:
        company_and_rest = line.split(': ')
        if len(company_and_rest) != 2:
            continue
        company_code, rest = company_and_rest
        type_and_amount = rest.split(' ')
        if len(type_and_amount) != 2:
            continue
        charge_type, amount_str = type_and_amount
        try:
            amount = int(amount_str)
        except ValueError:
            continue
        if company_code not in total_costs:
            total_costs[company_code] = 0
        if charge_type in ['Seat', 'Meals', 'Luggage', 'Fee', 'Tax']:
            total_costs[company_code] -= amount
        elif charge_type in ['Discount', 'Rebate']:
            total_costs[company_code] += amount
        else:
            continue
    if not total_costs:
        return 0
    else:
        min_cost = min(total_costs.values())
        return min_cost
Test Case Results:
{'testCases': [{'actualOutput': '-9468', 'passed': False, 'userPrints': '', 'testCase': {'input': ['AAA: Seat 9997', 'BBB: Discount 2886', 'DDD: Luggage 3500', 'CCC: Fee 9468', 'BBB: Fee 9378', 'AAA: Discount 3103'], 'expectedOutput': 3500, 'description': 'Basic test'}}, {'actualOutput': '-9468',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'-7300',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</si>
  <si>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"Analyzing the test results, I notice the solution is complete but incorrect. The main logical error is in how costs are being added/subtracted - the signs are reversed. Categories like 'Seat' should add to cost, while 'Discount' should subtract.",
    "is_complete": true,
    "is_correct": false,
    "errors_or_next_steps": "The solution is adding amounts when it should subtract them and vice versa",
    "hint_first_draft": "Check your math operations. When calculating costs, think about whether each category should increase or decrease the total.",
    "reflection": "The hint should be more specific but still not give away the complete solution. It should focus on the reversed operations issue.",
    "hint": "Look carefully at your '+' and '-' signs. Are you sure a discount should increase the total cost?"
}</t>
  </si>
  <si>
    <t>4.616464853286743</t>
  </si>
  <si>
    <t>The hint matches the intended message that discounts should reduce total cost rather than increase it, aligning with the expected hint's intention.</t>
  </si>
  <si>
    <t>It only suggests a single next step: verifying the sign usage for discounts.</t>
  </si>
  <si>
    <t>{
    "thought": "Looking at the test cases and solution, I notice the student has reversed the logic for adding and subtracting costs. They're subtracting when they should add, and adding when they should subtract.",
    "is_complete": true,
    "is_correct": false,
    "errors_or_next_steps": "The logic for handling costs is reversed. Regular charges are being subtracted and discounts are being added.",
    "hint_first_draft": "Check your math operations - are you adding and subtracting the right way? Think about what happens when you get a discount versus when you pay for a seat.",
    "reflection": "The hint should guide them to realize their logic error without explicitly telling them to swap the operators. Made it more relatable to real-world scenarios.",
    "hint": "Think about your bank account - when you buy something, does your balance go up or down? What about when you get a refund?"
}</t>
  </si>
  <si>
    <t>5.221673965454102</t>
  </si>
  <si>
    <t>The hint prompts the user to revisit whether they're adding or subtracting correctly, which aligns with the expected hint‚Äôs intention to highlight potential sign errors.</t>
  </si>
  <si>
    <t>It suggests a single conceptual check‚Äîwhether buying should decrease and refunds should increase‚Äîrather than multiple distinct next steps.</t>
  </si>
  <si>
    <t>It does not include any Python code or snippets, only a conceptual prompt.</t>
  </si>
  <si>
    <t>{
    "thought": "Looking at the test results, all cases fail. The main issue is that the student has reversed the logic for adding and subtracting costs. They're subtracting when they should add, and adding when they should subtract.",
    "is_complete": true,
    "is_correct": false,
    "errors_or_next_steps": "The logic for handling costs is reversed - amounts are being subtracted when they should be added and vice versa.",
    "hint_first_draft": "Check your math operations. When a customer pays for a Seat or Fee, should that increase or decrease their total cost?",
    "reflection": "The hint should guide them to realize their logic error without explicitly stating the solution. Focusing on real-world logic helps them understand the conceptual error.",
    "hint": "Think about it like a bank account - when you pay for something like a Seat or Fee, does your balance go up or down?"
}</t>
  </si>
  <si>
    <t>5.1693830490112305</t>
  </si>
  <si>
    <t>The provided hint doesn‚Äôt explicitly state that there is an error in subtracting costs and adding discounts, whereas the expected hint clearly points out the error.</t>
  </si>
  <si>
    <t>The hint only prompts the user to reconsider the logic in terms of account balance; it does not suggest multiple concrete steps or possible fixes.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</si>
  <si>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insert your code below
    total_costs = {}
    for line in data:
        company_and_rest = line.split(': ')
        if len(company_and_rest) != 2:
            continue
        company_code, rest = company_and_rest
        type_and_amount = rest.split(' ')
        if len(type_and_amount) != 2:
            continue
        charge_type, amount_str = type_and_amount
        try:
            amount = int(amount_str)
        except ValueError:
            continue
        if company_code not in total_costs:
            total_costs[company_code] = 0
        if charge_type in ['Seat', 'Meals', 'Luggage', 'Fee', 'Tax']:
            total_costs[company_code] -= amount
        elif charge_type in ['Discount', 'Rebate']:
            total_costs[company_code] += amount
        else:
            continue
    if not total_costs:
        return 0
    else:
        min_cost = min(total_costs.values())
        return min_cost
Test Case Results:
{'testCases': [{'actualOutput': '-9468', 'passed': False, 'userPrints': '', 'testCase': {'input': ['AAA: Seat 9997', 'BBB: Discount 2886', 'DDD: Luggage 3500', 'CCC: Fee 9468', 'BBB: Fee 9378', 'AAA: Discount 3103'], 'expectedOutput': 3500, 'description': 'Basic test'}}, {'actualOutput': '-9468',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'-7300',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</si>
  <si>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"thought_on_correctness": "Solution is incorrect as all test cases failed",
    "thought_on_completeness": "Solution is complete but has a logical error",
    "thought_on_next_steps": "N/A",
    "thought_on_errors": "The solution is adding and subtracting amounts in the opposite way it should - costs are being subtracted when they should be added, and discounts are being added when they should be subtracted",
    "hint_first_draft": "Look carefully at how you're handling the amounts. For categories like 'Seat' and 'Fee', should you really be reducing the total cost?",
    "reflection": "The hint focuses on the main logical error without giving away the solution, and encourages the student to think about the business logic of costs versus discounts",
    "hint": "Think about it: when you buy a seat ticket, should that make your total cost go down or up?"
}</t>
  </si>
  <si>
    <t>5.016451120376587</t>
  </si>
  <si>
    <t>The hint points to the same logic issue as the expected hint ‚Äì seat costs are being subtracted instead of added.</t>
  </si>
  <si>
    <t>It only suggests reconsidering one step (how seat costs should affect the total) rather than multiple actions.</t>
  </si>
  <si>
    <t>No specific code or Python snippets are mentioned in the hint.</t>
  </si>
  <si>
    <t>{
    "thought_on_correctness": "Solution is incorrect as all test cases failed",
    "thought_on_completeness": "Solution is complete but has a logical error",
    "thought_on_next_steps": "N/A as solution is complete",
    "thought_on_errors": "The addition/subtraction logic is reversed - costs are being subtracted when they should be added and vice versa",
    "hint_first_draft": "Look carefully at your arithmetic operations. Are you adding when you should be subtracting, or vice versa?",
    "reflection": "The hint focuses on the main logical error without giving away the solution, using everyday language to point out the arithmetic issue",
    "hint": "Think about your bank account - would a fee increase or decrease your balance? Your arithmetic operations might need to be flipped."
}</t>
  </si>
  <si>
    <t>4.322749137878418</t>
  </si>
  <si>
    <t>The hint aligns with the expected hint by noting the arithmetic signs for costs and discounts need flipping.</t>
  </si>
  <si>
    <t>The hint only suggests one actionable step: invert the operations for costs and discounts.</t>
  </si>
  <si>
    <t>It does not provide any specific Python code or snippets, only conceptual advice.</t>
  </si>
  <si>
    <t>{
    "thought_on_correctness": "The solution is incorrect as it fails all test cases",
    "thought_on_completeness": "The solution is complete but has a logical error",
    "thought_on_next_steps": "N/A as solution is complete",
    "thought_on_errors": "The logic for adding and subtracting costs is reversed. Costs are being subtracted when they should be added and vice versa",
    "hint_first_draft": "Take a closer look at your math operations. Are you adding when you should be subtracting? Remember that costs increase the total while discounts decrease it.",
    "reflection": "The hint is concise, conversational, and points to the specific issue without giving away the solution directly",
    "hint": "Think about what each transaction type does to your wallet - does a seat cost add to or subtract from your expenses?"
}</t>
  </si>
  <si>
    <t>4.595088958740234</t>
  </si>
  <si>
    <t>Both the given hint and the expected hint point to the same sign issue with costs versus discounts, indicating the intention is the same.</t>
  </si>
  <si>
    <t>The hint only prompts checking whether seat costs add or subtract, which is essentially a single step.</t>
  </si>
  <si>
    <t>No Python-specific code or snippets are included in the hint.</t>
  </si>
  <si>
    <t>{
  "thought_on_correctness": "is solution correct based on the test case results",
  "thought_on_completeness": "is solution complete",
  "thought_on_next_steps": "if solution is incomplete, what is the likely next step",
  "thought_on_errors": "find any errors in the solution",
  "hint_first_draft": "You're mixing the charges up: add for costs and subtract for discounts. Try reversing those actions.",
  "reflection": "The solution is incorrect based on the failed test cases and incomplete because the logic for calculating costs needs fixing. I focused on identifying a logical error here.",
  "hint": "You're mixing the charges up: add for costs and subtract for discounts. Try reversing those actions."
}</t>
  </si>
  <si>
    <t>2.2560441493988037</t>
  </si>
  <si>
    <t>The hint accurately addresses the error regarding reversed addition/subtraction, matching the expected hint.</t>
  </si>
  <si>
    <t>The hint essentially advises a single action (reversing add/subtract), not multiple steps.</t>
  </si>
  <si>
    <t>{
  "thought_on_correctness": "is solution correct based on the test case results",
  "thought_on_completeness": "is solution complete",
  "thought_on_next_steps": "if solution is incomplete, what is the likely next step",
  "thought_on_errors": "find any errors in the solution",
  "hint_first_draft": "It looks like you're subtracting instead of adding for some categories. Check if you are adjusting the costs correctly.",
  "reflection": "The solution is incorrect as all test cases failed. It appears to be complete but contains a logical error in the cost calculations. I focused on the main logical mistake without providing direct solutions, as per the instructions.",
  "hint": "Check if you are adjusting costs correctly for the different categories."
}</t>
  </si>
  <si>
    <t>2.148102283477783</t>
  </si>
  <si>
    <t>The hint does prompt the user to review how costs are being adjusted, aligning with the expected hint's intent to identify potential errors in subtracting costs and adding discounts.</t>
  </si>
  <si>
    <t>It offers only one general next step (to check the cost adjustment logic) rather than multiple distinct actions.</t>
  </si>
  <si>
    <t>{
  "thought_on_correctness": "solution incorrect based on the test case results",
  "thought_on_completeness": "solution complete",
  "thought_on_next_steps": "correct the logic for adding costs",
  "thought_on_errors": "the manner of updating total costs is reversed for charge types",
  "hint_first_draft": "Check if you're adding or subtracting costs for each charge type; it seems reversed.",
  "reflection": "The solution is incorrect as it didn't pass the tests, but it is complete. The logic for cost adjustments needs correction, particularly regarding how amounts are added or subtracted based on charge type.",
  "hint": "Check if you're adding or subtracting costs for each charge type; it seems reversed."
}</t>
  </si>
  <si>
    <t>2.4577269554138184</t>
  </si>
  <si>
    <t>The hint points out that the cost logic is reversed, which matches the expected hint about costs being subtracted and discounts added.</t>
  </si>
  <si>
    <t>It suggests only one action: reversing the logic for adding/subtracting costs and discounts.</t>
  </si>
  <si>
    <t>No code snippets or explicit Python references are provided in the hint.</t>
  </si>
  <si>
    <t>```json
{
  "thought": "The solution is incorrect based on all test case results showing failure. It seems there's a logical error in handling cost additions and subtractions. The cost types which should add are instead subtracted, and vice versa. The solution appears complete.",
  "is_complete": true,
  "is_correct": false,
  "errors_or_next_steps": "Logical error in cost calculation causing the opposite effect.",
  "hint": "Review how costs are added and subtracted in your solution."
}
```</t>
  </si>
  <si>
    <t>3.685688018798828</t>
  </si>
  <si>
    <t>Both the provided hint and the expected hint direct attention to the way costs and discounts are being handled (added or subtracted). Even though the provided hint is less explicit, it still encourages reviewing that exact logic.</t>
  </si>
  <si>
    <t>The hint only provides one action item: to review how costs are added or subtracted in the solution. It does not suggest multiple discrete steps.</t>
  </si>
  <si>
    <t>No specific code or snippet is mentioned in the hint.</t>
  </si>
  <si>
    <t>```json
{
  "thought": "The solution is incorrect based on the test case results. The student has mixed up the operations for costs and discounts, causing the incorrect calculation of totals for companies.",
  "is_complete": true,
  "is_correct": false,
  "errors_or_next_steps": "Logical error in cost calculation for types, add logic for positive adds to cost.",
  "hint": "It seems like there's a mix-up with how costs and discounts affect the total. Review how each affects the total cost."
}
```</t>
  </si>
  <si>
    <t>2.863771915435791</t>
  </si>
  <si>
    <t>The hint directs attention to the mistaken treatment of costs and discounts, aligning with the intended hint that costs are subtracted and discounts are added incorrectly.</t>
  </si>
  <si>
    <t>It suggests reviewing how each cost or discount affects the total, which is effectively a single step.</t>
  </si>
  <si>
    <t>```json
{
  "thought": "All test cases fail, indicating an error. The costs are incorrectly subtracted for positive categories and added for negative categories, which is a logical error.",
  "is_complete": true,
  "is_correct": false,
  "errors_or_next_steps": "Logical error in how amounts are applied based on categories.",
  "hint": "Make sure you're adding for positive cost categories and subtracting for negative ones."
}
```</t>
  </si>
  <si>
    <t>2.1958858966827393</t>
  </si>
  <si>
    <t>The hint conveys the same intention as the expected hint, namely that the cost categories are reversed (costs should be added rather than subtracted, and vice versa).</t>
  </si>
  <si>
    <t>It only suggests one step: ensure correct addition/subtraction for each category.</t>
  </si>
  <si>
    <t>It provides no code snippet or explicit Python references.</t>
  </si>
  <si>
    <t>```json
{
  "thought": "The student's solution is incorrect based on the test results. The logic in handling costs and discounts seems inverted, so costs are deducted and discounts added, contrary to the problem's requirements.",
  "is_complete": true,
  "is_correct": false,
  "errors_or_next_steps": "Logical error: costs and discounts are being applied in reverse.",
  "hint_first_draft": "Check the logic for adding and subtracting costs and discounts; they're inverted.",
  "reflection": "The hint should prompt the student to realize the inversion in the cost and discount logic without explicitly stating the correct logic.",
  "hint": "Check the logic for adding and subtracting costs and discounts; they're inverted."
}
```</t>
  </si>
  <si>
    <t>3.786106824874878</t>
  </si>
  <si>
    <t>The hint correctly points out that costs and discounts are being handled in an inverted manner, matching the expected hint.</t>
  </si>
  <si>
    <t>It suggests a single action: reviewing and correcting the inversion logic for costs and discounts.</t>
  </si>
  <si>
    <t>No specific Python code snippets are given; it's a general conceptual hint.</t>
  </si>
  <si>
    <t>```json
{
  "thought": "The solution is incorrect based on the test case results since all tests failed, indicating the logic related to adding and subtracting costs is flawed. The solution is complete as it covers parsing and computation but incorrectly computes total costs by adding expenses and subtracting discounts.",
  "is_complete": true,
  "is_correct": false,
  "errors_or_next_steps": "There is a logical error in how costs are added and subtracted.",
  "hint_first_draft": "Check your logic for adding and subtracting amounts related to each company.",
  "reflection": "The hint should guide the student to revisit the cost computation logic, ensuring expenses are added rather than subtracted, which seems to be the root of their issue.",
  "hint": "Check your logic for adding and subtracting amounts related to each company."
}
```</t>
  </si>
  <si>
    <t>5.021013975143433</t>
  </si>
  <si>
    <t>The hint closely matches the expected intention to revisit how costs and discounts are handled (subtraction vs. addition).</t>
  </si>
  <si>
    <t>It only suggests one action‚Äîchecking the addition and subtraction logic‚Äîrather than multiple steps.</t>
  </si>
  <si>
    <t>```json
{
  "thought": "The solution is incorrect since all test cases failed. The problem likely lies in the logic for calculating costs. Costs should increase with charges like 'Seat', 'Meals', etc., and decrease with 'Discount' and 'Rebate'.",
  "is_complete": true,
  "is_correct": false,
  "errors_or_next_steps": "Logical error in adding and subtracting costs depending on category.",
  "hint_first_draft": "It seems like your approach to adding and subtracting costs is reversed. Double-check the logic for which categories should increase or decrease the total.",
  "reflection": "I pointed out that the student is subtracting where they should be adding, and vice versa. This is a single logical error and addressing it should lead to correct results.",
  "hint": "It seems like your approach to adding and subtracting costs is reversed. Double-check the logic for which categories should increase or decrease the total."
}
```</t>
  </si>
  <si>
    <t>4.178930997848511</t>
  </si>
  <si>
    <t>The hint points out that adding and subtracting are reversed, which aligns with the expected hint about costs being subtracted and discounts being added.</t>
  </si>
  <si>
    <t>It only suggests a single action: verifying the logic of which costs should be added or subtracted.</t>
  </si>
  <si>
    <t>No specific Python code or code snippets are given.</t>
  </si>
  <si>
    <t>```json
{
  "thought_on_correctness": "is solution correct based on the test case results",
  "thought_on_completeness": "is solution complete",
  "thought_on_next_steps": "consider refining how costs are added and subtracted",
  "thought_on_errors": "logical error in handling cost addition and subtraction",
  "hint_first_draft": "Check how amounts are added and subtracted for different cost categories.",
  "reflection": "The hint addresses the logical issue of miscalculating costs due to incorrect addition and subtraction logic.",
  "hint": "Check how amounts are added and subtracted for different cost categories."
}
```</t>
  </si>
  <si>
    <t>2.555694103240967</t>
  </si>
  <si>
    <t>The given hint suggests verifying the add/subtract logic but does not mention the presence of an error, whereas the expected hint explicitly states there is an error in how costs and discounts are being handled.</t>
  </si>
  <si>
    <t>It only advises to 'check how amounts are added and subtracted'‚Äîa single action rather than multiple distinct steps.</t>
  </si>
  <si>
    <t>```json
{
  "thought_on_correctness": "is solution correct based on the test case results",
  "thought_on_completeness": "is solution complete",
  "thought_on_next_steps": "if solution is incomplete, what is the likely next step",
  "thought_on_errors": "find any errors in the solution",
  "hint_first_draft": "Review the sign used for adding or subtracting costs; ensure costs are positive.",
  "reflection": "The main issue seems to lie in handling the sign for adding or subtracting costs. Point out the error regarding cost subtraction to guide the student toward correcting the logic.",
  "hint": "Review the sign used for adding or subtracting costs; ensure costs are positive."
}
```</t>
  </si>
  <si>
    <t>3.898721933364868</t>
  </si>
  <si>
    <t>The given hint aligns with the expected hint by pointing out the sign error in costs (subtracting vs. adding).</t>
  </si>
  <si>
    <t>It only suggests one action: checking the sign usage for costs. No additional steps are outlined.</t>
  </si>
  <si>
    <t>It does not provide any specific code or snippets, just a conceptual reminder.</t>
  </si>
  <si>
    <t>```json
{
  "thought_on_correctness": "The solution is incorrect based on the test case results.",
  "thought_on_completeness": "The solution is complete, but there is a logical error.",
  "thought_on_next_steps": "N/A",
  "thought_on_errors": "The charges that add to total cost are being subtracted and vice-versa.",
  "hint_first_draft": "Check if costs meant to add to the total are subtracted, and those meant to subtract are added instead.",
  "reflection": "The provided solution is complete, yet incorrectly implements the logic of cost addition and subtraction, leading to failed test cases. The hint focuses on evaluating and correcting this logical error.",
  "hint": "Check if costs meant to add to the total are subtracted, and those meant to subtract are added instead."
}
```</t>
  </si>
  <si>
    <t>3.483752965927124</t>
  </si>
  <si>
    <t>Both hints match in intention: they point out the reversed addition/subtraction logic.</t>
  </si>
  <si>
    <t>Only one action is suggested: verify and correct the reversed cost logic.</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</si>
  <si>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insert your code below
    total_costs = {}
    for line in data:
        company_and_rest = line.split(': ')
        if len(company_and_rest) != 2:
            continue
        company_code, rest = company_and_rest
        type_and_amount = rest.split(' ')
        if len(type_and_amount) != 2:
            continue
        charge_type, amount_str = type_and_amount
        try:
            amount = int(amount_str)
        except ValueError:
            continue
        if company_code not in total_costs:
            total_costs[company_code] = 0
        if charge_type in ['Seat', 'Meals', 'Luggage', 'Fee', 'Tax']:
            total_costs[company_code] -= amount
        elif charge_type in ['Discount', 'Rebate']:
            total_costs[company_code] += amount
        else:
            continue
    if not total_costs:
        return 0
    else:
        min_cost = min(total_costs.values())
        return min_cost
Test Case Results:
{'testCases': [{'actualOutput': '-9468', 'passed': False, 'userPrints': '', 'testCase': {'input': ['AAA: Seat 9997', 'BBB: Discount 2886', 'DDD: Luggage 3500', 'CCC: Fee 9468', 'BBB: Fee 9378', 'AAA: Discount 3103'], 'expectedOutput': 3500, 'description': 'Basic test'}}, {'actualOutput': '-9468',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'-7300',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</si>
  <si>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{"hint": "It seems you've reversed the operations. Instead of subtracting the costs and adding discounts, try adjusting the sign so that costs add and discounts subtract."}</t>
  </si>
  <si>
    <t>3.5266928672790527</t>
  </si>
  <si>
    <t>Both the given and expected hints point out that costs and discounts are inverted. The suggested fix aligns with the expected hint's intention.</t>
  </si>
  <si>
    <t>The hint suggests a single fix‚Äîreversing the sign usage for costs and discounts‚Äîwhich can be done in a small change (less than 3 lines).</t>
  </si>
  <si>
    <t>No specific Python code or line references are provided in the hint.</t>
  </si>
  <si>
    <t>{"hint": "Your solution is complete but the operations for cost categories are reversed. Adjust the handling so that cost items add to the total instead of being subtracted."}</t>
  </si>
  <si>
    <t>4.5025317668914795</t>
  </si>
  <si>
    <t>The hint accurately points out the same error described by the expected hint: cost items are being subtracted instead of added (and vice versa).</t>
  </si>
  <si>
    <t>It only suggests a single change (reversing the sign of cost items), rather than multiple separate steps.</t>
  </si>
  <si>
    <t>No specific Python code or snippet is given, just a general statement of what to change.</t>
  </si>
  <si>
    <t>{"hint": "Great effort! Check your arithmetic operations ‚Äì the sign used for costs should be reversed. Instead of subtracting cost amounts, try adding them, and adjust discounts accordingly."}</t>
  </si>
  <si>
    <t>3.9884941577911377</t>
  </si>
  <si>
    <t>The provided hint clearly points out that costs should be added instead of subtracted, aligning with the expected hint about reversed operations.</t>
  </si>
  <si>
    <t>It instructs to both flip the cost sign and adjust discounts, implying multiple actions to take.</t>
  </si>
  <si>
    <t>No actual Python code or snippets are provided within the hint.</t>
  </si>
  <si>
    <t>questions/purchase_tickets/2_logical.py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</si>
  <si>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Initialize a dictionary to hold the total costs per company
    total_costs = {}
    add_types = {'Seat', 'Meals', 'Luggage', 'Fee', 'Tax'}
    subtract_types = {'Discount', 'Rebate'}
    # Process each line in the data
    for line in data:
        if ': ' not in line:
            continue
        company_code, rest = line.split(': ', 1)
        parts = rest.strip().split(' ')
        if len(parts) != 3:
            continue
        charge_type, amount_str = parts
        amount = int(amount_str)
        if company_code not in total_costs:
            total_costs[company_code] = 0
        if charge_type in add_types:
            total_costs[company_code] += amount
        elif charge_type in subtract_types:
            total_costs[company_code] -= amount
        else:
            continue  # Skip unknown charge types
    # Now, find the minimal total cost
    if not total_costs:
        return 0  # If no companies, return 0
    else:
        min_cost = min(total_costs.values())
        return min_cost
Test Case Results:
{'testCases': [{'actualOutput': '0', 'passed': False, 'userPrints': '', 'testCase': {'input': ['AAA: Seat 9997', 'BBB: Discount 2886', 'DDD: Luggage 3500', 'CCC: Fee 9468', 'BBB: Fee 9378', 'AAA: Discount 3103'], 'expectedOutput': 3500, 'description': 'Basic test'}}, {'actualOutput': '0',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</si>
  <si>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"The solution is complete but incorrect. Looking at the code and test results, there seems to be an issue with parsing the input strings. The code expects three parts after splitting but the input format has only two parts (charge_type and amount).",
    "is_complete": true,
    "is_correct": false,
    "errors_or_next_steps": "The string splitting logic is checking for wrong number of parts and skipping valid records",
    "hint": "Check how you're splitting each line after the company code. You might be expecting three parts where there should only be two."
}</t>
  </si>
  <si>
    <t>3.485137939453125</t>
  </si>
  <si>
    <t>The given hint and the expected hint both point out that the code is incorrectly handling the number of parts after splitting the line and should not skip when len(parts) != 3.</t>
  </si>
  <si>
    <t>The hint offers a single suggestion (adjust the line splitting) rather than multiple distinct steps.</t>
  </si>
  <si>
    <t>It does not include any Python code or detailed snippets.</t>
  </si>
  <si>
    <t>Incorrect to skip current loop iteration if parts does not have a length of 3</t>
  </si>
  <si>
    <t>{
    "thought": "The solution appears complete but has a logical error. The structure of parsing the input data is correct, but the code assumes each line has 3 parts when the format is actually 'COMPANY: TYPE AMOUNT'. This causes the code to skip all valid records.",
    "is_complete": true,
    "is_correct": false,
    "errors_or_next_steps": "Line parsing incorrectly assumes three parts instead of two in the rest of the string after company code",
    "hint": "After splitting on ': ', you're getting two parts. The second part just needs to be split into type and amount. No need to check for three parts."
}</t>
  </si>
  <si>
    <t>3.891507863998413</t>
  </si>
  <si>
    <t>The hint correctly addresses removing the check for parts having length 3, aligning with the expected hint to not skip the iteration.</t>
  </si>
  <si>
    <t>It only proposes a single change: split the second part into type and amount without checking its length.</t>
  </si>
  <si>
    <t>The hint doesn't contain any explicit Python code or snippets.</t>
  </si>
  <si>
    <t>{
    "thought": "The solution appears complete but incorrect. Looking at the test case results, it's always returning 0. The issue is in line parsing - the code expects 3 parts but the split gives only 2 parts (charge_type and amount), causing all lines to be skipped.",
    "is_complete": true,
    "is_correct": false,
    "errors_or_next_steps": "Incorrect splitting of input lines causing all data to be skipped",
    "hint": "Look at how you're splitting each line. When you split 'rest', you're expecting 3 parts but there are only 2 - the type and amount."
}</t>
  </si>
  <si>
    <t>3.9898202419281006</t>
  </si>
  <si>
    <t>The hint accurately identifies that the code is expecting 3 parts but only gets 2, matching the idea that skipping when not 3 parts is incorrect.</t>
  </si>
  <si>
    <t>It only suggests focusing on the splitting logic (one action), not multiple steps.</t>
  </si>
  <si>
    <t>It does not include an explicit code snippet, only a conceptual explanation.</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</si>
  <si>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Initialize a dictionary to hold the total costs per company
    total_costs = {}
    add_types = {'Seat', 'Meals', 'Luggage', 'Fee', 'Tax'}
    subtract_types = {'Discount', 'Rebate'}
    # Process each line in the data
    for line in data:
        if ': ' not in line:
            continue
        company_code, rest = line.split(': ', 1)
        parts = rest.strip().split(' ')
        if len(parts) != 3:
            continue
        charge_type, amount_str = parts
        amount = int(amount_str)
        if company_code not in total_costs:
            total_costs[company_code] = 0
        if charge_type in add_types:
            total_costs[company_code] += amount
        elif charge_type in subtract_types:
            total_costs[company_code] -= amount
        else:
            continue  # Skip unknown charge types
    # Now, find the minimal total cost
    if not total_costs:
        return 0  # If no companies, return 0
    else:
        min_cost = min(total_costs.values())
        return min_cost
Test Case Results:
{'testCases': [{'actualOutput': '0', 'passed': False, 'userPrints': '', 'testCase': {'input': ['AAA: Seat 9997', 'BBB: Discount 2886', 'DDD: Luggage 3500', 'CCC: Fee 9468', 'BBB: Fee 9378', 'AAA: Discount 3103'], 'expectedOutput': 3500, 'description': 'Basic test'}}, {'actualOutput': '0',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</si>
  <si>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"Looking at the code and test results, I notice that all test cases return 0, suggesting the data parsing isn't working correctly. The error appears to be in parsing the line, as the code expects three parts but the actual format has two parts.",
    "is_complete": true,
    "is_correct": false,
    "errors_or_next_steps": "The line parsing logic is incorrect, expecting three parts when the format is 'company: type amount'",
    "hint_first_draft": "Check how you're splitting the line. You're expecting three parts, but look carefully at your input format - how many spaces are actually between the important parts?",
    "reflection": "The hint should be more focused and clearer about the parsing issue without giving away the exact solution. Let's make it more conversational and direct.",
    "hint": "Take another look at how you're splitting each line. When you split 'AAA: Seat 9997', how many parts should you really get?"
}</t>
  </si>
  <si>
    <t>The hint focuses on re-checking how many parts are obtained when splitting, whereas the expected hint explicitly points out that skipping the iteration (if parts is not length 3) is incorrect. They do not fully align in intention.</t>
  </si>
  <si>
    <t>It only suggests one action (checking the splitting logic), rather than multiple steps.</t>
  </si>
  <si>
    <t>{
    "thought": "Looking at the code and test results, I see the solution is complete but incorrect. The main issue appears to be in parsing the line - the split logic for charge_type and amount is wrong as it's looking for 3 parts when there should only be 2.",
    "is_complete": true,
    "is_correct": false,
    "errors_or_next_steps": "Incorrect splitting of input line causing parsing error with amount",
    "hint_first_draft": "Check how you're splitting each line after the colon. You're expecting three parts but there should only be two - the type and the amount.",
    "reflection": "The hint should be more conversational and avoid technical terms like 'splitting'. Also should focus on what they see in the input format.",
    "hint": "Take another look at the format of each line after the colon. Notice how it's just a type followed by a number? Your code is looking for more pieces than that."
}</t>
  </si>
  <si>
    <t>5.638180732727051</t>
  </si>
  <si>
    <t>It matches the intention of pointing out that the code expects three pieces but the data only has two.</t>
  </si>
  <si>
    <t>It only suggests a single change (re-examining the length check).</t>
  </si>
  <si>
    <t>{
    "thought": "Looking at the code and test results, the solution appears complete but incorrect. The main issue seems to be in parsing the input. The code expects 3 parts after splitting on space, but the input format has only 2 parts (type and amount) after the company name.",
    "is_complete": true,
    "is_correct": false,
    "errors_or_next_steps": "Incorrect parsing of input string causing logic to skip all records",
    "hint_first_draft": "Check how you're splitting the input line. After separating company name, you should only have two parts remaining: the type and amount.",
    "reflection": "The hint focuses on the critical parsing error without giving away the exact solution. It guides the student to review their string splitting logic.",
    "hint": "After splitting the company name, your code expects three parts, but look carefully at the input format - how many parts should you really have?"
}</t>
  </si>
  <si>
    <t>5.122651815414429</t>
  </si>
  <si>
    <t>Both the given and expected hints point out that the code's assumption of having exactly 3 parts is incorrect and needs revisiting.</t>
  </si>
  <si>
    <t>The hint only directs the user to reconsider the number of parts, which is a single step rather than multiple actions.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</si>
  <si>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Initialize a dictionary to hold the total costs per company
    total_costs = {}
    add_types = {'Seat', 'Meals', 'Luggage', 'Fee', 'Tax'}
    subtract_types = {'Discount', 'Rebate'}
    # Process each line in the data
    for line in data:
        if ': ' not in line:
            continue
        company_code, rest = line.split(': ', 1)
        parts = rest.strip().split(' ')
        if len(parts) != 3:
            continue
        charge_type, amount_str = parts
        amount = int(amount_str)
        if company_code not in total_costs:
            total_costs[company_code] = 0
        if charge_type in add_types:
            total_costs[company_code] += amount
        elif charge_type in subtract_types:
            total_costs[company_code] -= amount
        else:
            continue  # Skip unknown charge types
    # Now, find the minimal total cost
    if not total_costs:
        return 0  # If no companies, return 0
    else:
        min_cost = min(total_costs.values())
        return min_cost
Test Case Results:
{'testCases': [{'actualOutput': '0', 'passed': False, 'userPrints': '', 'testCase': {'input': ['AAA: Seat 9997', 'BBB: Discount 2886', 'DDD: Luggage 3500', 'CCC: Fee 9468', 'BBB: Fee 9378', 'AAA: Discount 3103'], 'expectedOutput': 3500, 'description': 'Basic test'}}, {'actualOutput': '0',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</si>
  <si>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"thought_on_correctness": "Solution is incorrect as all test cases are failing",
    "thought_on_completeness": "Solution is complete but has logical errors",
    "thought_on_next_steps": "N/A as solution is complete",
    "thought_on_errors": "The parts split is expecting 3 elements but the input format only has 2 elements (type and amount)",
    "hint_first_draft": "Look carefully at how you're splitting each line. Your code expects three parts after splitting, but the input format only has two parts after the company name.",
    "reflection": "The hint focuses on the immediate error without giving away the solution, while maintaining a conversational tone and avoiding explicit programming terms",
    "hint": "Hey there! I noticed you're trying to split the line into three parts after the company name, but take another look at the input format - how many parts do you actually see?"
}</t>
  </si>
  <si>
    <t>5.017492055892944</t>
  </si>
  <si>
    <t>The hint points out the discrepancy in the assumed number of parts, which aligns with the expected hint‚Äôs message that skipping when parts != 3 is incorrect.</t>
  </si>
  <si>
    <t>The hint only suggests looking at the input format and does not propose multiple actions.</t>
  </si>
  <si>
    <t>{
    "thought_on_correctness": "Solution is incorrect as all test cases failed, returning 0 instead of expected values",
    "thought_on_completeness": "Solution is complete but has logical errors",
    "thought_on_next_steps": "N/A as solution is complete",
    "thought_on_errors": "The split operation for processing charge type and amount is incorrect, splitting into 3 parts when it should be 2",
    "hint_first_draft": "Check how you're splitting each record - looks like you're expecting three parts after the colon when there should only be two parts for charge type and amount.",
    "reflection": "Hint focuses on the immediate issue with splitting the data, keeping it simple and conversational without giving away the solution",
    "hint": "Take another look at how you're splitting each line after the colon - are you sure about the number of parts you're expecting?"
}</t>
  </si>
  <si>
    <t>4.916955947875977</t>
  </si>
  <si>
    <t>The hint calls out the same core issue regarding the expected number of parts after splitting, aligning with the expected hint's focus on the incorrect assumption about having exactly three parts.</t>
  </si>
  <si>
    <t>It only directs attention to rechecking the split logic and does not suggest any additional or distinct steps.</t>
  </si>
  <si>
    <t>It does not include any explicit Python code or snippets, only a general statement.</t>
  </si>
  <si>
    <t>{
    "thought_on_correctness": "The solution is incorrect as all test cases are failing, returning 0 instead of expected values.",
    "thought_on_completeness": "The solution is complete in structure but has a logical error.",
    "thought_on_next_steps": "N/A - solution is complete but incorrect",
    "thought_on_errors": "The split operation for charge_type and amount is incorrect, causing the line to be skipped and returning 0.",
    "hint_first_draft": "Look at how you're splitting each line. When you split 'rest', you're expecting three parts but the data only has two (type and amount).",
    "reflection": "Hint focuses on the specific parsing error without giving away the solution, maintaining conversational tone and brevity.",
    "hint": "Check your string splitting logic - each line has company, type, and amount, but you're looking for an extra piece that isn't there!"
}</t>
  </si>
  <si>
    <t>The hint aligns with the expected reminder that the code mistakenly expects extra components and skips lines if parts != 3.</t>
  </si>
  <si>
    <t>It only suggests verifying the string splitting logic, which is effectively a single action.</t>
  </si>
  <si>
    <t>{
  "thought_on_correctness": "solution is incorrect based on the test case results",
  "thought_on_completeness": "solution is complete",
  "thought_on_next_steps": "the likely next step is to fix the way costs are computed for each company",
  "thought_on_errors": "the solution always returns 0 for cases where costs should be calculated",
  "hint_first_draft": "Check how you're computing the total costs for the companies; it looks like you're always returning 0.",
  "reflection": "I identified that the solution is incorrect due to failing test cases. It seems complete with no syntax errors, but there is a logical flaw in how total costs are processed, particularly when handling deductions. My hint focuses on correcting the computation logic.",
  "hint": "Check how you're updating the costs for each company; it seems you'll need to adjust the calculations."
}</t>
  </si>
  <si>
    <t>The hint focuses on adjusting calculations, while the expected hint concerns not skipping lines when 'parts' doesn't have length 3.</t>
  </si>
  <si>
    <t>It only provides one general piece of advice: to check and adjust the cost updates.</t>
  </si>
  <si>
    <t>{
  "thought_on_correctness": "is solution incorrect based on the test case results",
  "thought_on_completeness": "is solution complete",
  "thought_on_next_steps": "check the handling of costs when they are negative",
  "thought_on_errors": "the solution's return logic for no companies is incorrect",
  "hint_first_draft": "Make sure to correctly handle cases where the total costs should be negative.",
  "reflection": "Reviewed the test case results and assessed the solution's completeness. The hint focuses on fixing the incorrect logic in handling totals.",
  "hint": "Ensure total costs are correctly calculated when subtracting amounts."
}</t>
  </si>
  <si>
    <t>3.989393711090088</t>
  </si>
  <si>
    <t>The provided hint focuses on correctly calculating total costs when subtracting amounts, which does not match the expected hint about avoiding skipping iteration if parts do not have a length of 3.</t>
  </si>
  <si>
    <t>The hint suggests only a single action‚Äîensuring total costs are correctly calculated‚Äîwithout detailing multiple steps.</t>
  </si>
  <si>
    <t>No code snippets or specific Python references are given in the hint.</t>
  </si>
  <si>
    <t>```json
{
  "thought_on_correctness": "is solution incorrect based on the test case results",
  "thought_on_completeness": "is solution complete",
  "thought_on_next_steps": "the likely next step is to review how costs are calculated and ensure all charge types are handled correctly",
  "thought_on_errors": "the solution may not properly add and subtract amounts due to the way the final costs are computed",
  "hint_first_draft": "Check that you're correctly processing all charge types for deductions and additions.",
  "reflection": "I identified that the solution is incorrect based on the test case results since none passed. It's complete but needs correction in the cost calculations.",
  "hint": "Review how amounts are aggregated based on their categories to ensure accurate totals."
}
```</t>
  </si>
  <si>
    <t>2.784991979598999</t>
  </si>
  <si>
    <t>The hint focuses on reviewing amounts aggregated under each category. The expected hint addresses the issue of skipping lines when parts != 3, which this hint does not mention.</t>
  </si>
  <si>
    <t>It broadly advises reviewing aggregation but does not outline multiple specific actions or steps.</t>
  </si>
  <si>
    <t>```json
{
  "thought": "The solution did not pass any test cases, indicating the solution is incorrect. It seems the logic fails because there's an assumption of three parts in the line split, which is incorrect. This results in not processing any lines correctly.",
  "is_complete": true,
  "is_correct": false,
  "errors_or_next_steps": "The line splitting logic assumes three parts, but there are only two.",
  "hint": "Check the assumption about how to split each record, ensuring it correctly divides into company, type, and amount."
}
```</t>
  </si>
  <si>
    <t>The provided hint focuses on verifying the splitting operation, whereas the expected hint explicitly states it is incorrect to skip if parts is not length 3. They do not match in intention.</t>
  </si>
  <si>
    <t>The hint offers only a single action (checking the assumption of splitting), and does not suggest multiple steps.</t>
  </si>
  <si>
    <t>```json
{
  "thought": "The solution is incorrectly processing the data because it expects three parts after splitting by space, but only two are present, causing incorrect parsing of amounts due to splitting issues.",
  "is_complete": true,
  "is_correct": false,
  "errors_or_next_steps": "Logical error: the code incorrectly splits `rest` assuming there are three parts, leading to incorrect parsing of amount.",
  "hint": "Check how you split the data and ensure the amount is extracted correctly."
}
```</t>
  </si>
  <si>
    <t>2.9468142986297607</t>
  </si>
  <si>
    <t>The expected hint focuses on not skipping lines when parts != 3, while the provided hint only suggests checking the data splitting and amount extraction without addressing the skipping logic.</t>
  </si>
  <si>
    <t>It tells the user to both check how the data is split and ensure the amount is correctly extracted, which can be seen as two separate steps.</t>
  </si>
  <si>
    <t>```json
{
  "thought": "The student's solution is incorrect as none of the test cases pass. The code doesn't properly split the record details, which results in processing errors. The solution is incomplete since it doesn't correctly extract amount values.",
  "is_complete": false,
  "is_correct": false,
  "errors_or_next_steps": "The amount and charge type extraction is incorrect.",
  "hint": "Check how you're splitting the details of each record to extract charge type and amount correctly."
}
```</t>
  </si>
  <si>
    <t>2.9559171199798584</t>
  </si>
  <si>
    <t>The hint does not explicitly address the issue of skipping lines when parts length is not 3, unlike the expected hint that focuses on the incorrect skipping logic.</t>
  </si>
  <si>
    <t>The hint only suggests a single action: to check how the data is split. It does not offer multiple distinct steps.</t>
  </si>
  <si>
    <t>No Python code or snippet is provided in the hint.</t>
  </si>
  <si>
    <t>```json
{
  "thought": "Based on the test case results, the student's solution is incorrect since all tests failed. The student's solution is complete but has a logical error in identifying the correct length when splitting the relevant part of a record, as shown by the always returned '0'.",
  "is_complete": true,
  "is_correct": false,
  "errors_or_next_steps": "Logical error in handling company-code and costs correctly, resulting in incorrect calculations.",
  "hint_first_draft": "Double-check how you split each record and ensure you process both the charge type and amount correctly.",
  "reflection": "Reviewed the errors carefully, especially focusing on how the data is processed. Reinforced the need to verify record parsing in order to provide accurate computations.",
  "hint": "Double-check how you split each record and ensure you process both the charge type and amount correctly."
}
```</t>
  </si>
  <si>
    <t>5.017239093780518</t>
  </si>
  <si>
    <t>The provided hint does not address the specific issue of skipping the iteration when parts do not have a length of 3; it only suggests checking the way records are split and processed.</t>
  </si>
  <si>
    <t>It only provides a single broad suggestion (to double-check the split and processing) rather than multiple actionable steps.</t>
  </si>
  <si>
    <t>No specific code snippets or Python details are included in the hint.</t>
  </si>
  <si>
    <t>```json
{
  "thought": "The solution is incorrect as no test cases passed. It's complete but incorrectly splits the string into three parts, causing logical errors. Correcting the parsing of each line will address the underlying issue.",
  "is_complete": true,
  "is_correct": false,
  "errors_or_next_steps": "The line parsing incorrectly assumes three parts. Improve the logic to fit the problem constraints accurately.",
  "hint_first_draft": "Check how the input lines are split into components; ensure the parsing logic aligns with input expectations.",
  "reflection": "The main issue stems from incorrectly handling the input format, resulting in improperly calculating costs. By emphasizing improving the parsing logic, the student can redress the fundamental parsing error.",
  "hint": "Check how the input lines are split into components; ensure the parsing logic aligns with input expectations."
}
```</t>
  </si>
  <si>
    <t>4.5053441524505615</t>
  </si>
  <si>
    <t>The provided hint remains general about checking input splitting, whereas the expected hint specifically addresses the issue of skipping when parts != 3.</t>
  </si>
  <si>
    <t>It only suggests a single check on how the input is split and does not outline multiple or detailed steps.</t>
  </si>
  <si>
    <t>```json
{
  "thought": "The solution is incorrect as all test cases failed, producing an output of '0'. The function is traversing data without properly handling a potential error due to incorrect splitting of the parts into expected variables. The solution appears complete as it attempts to handle all input and calculate the final cost. Focus on the immediate code issue with splitting the 'rest'.",
  "is_complete": true,
  "is_correct": false,
  "errors_or_next_steps": "The string splitting incorrectly assigns fewer variables than expected, causing an error.",
  "hint_first_draft": "Check how the input is split into expected variables; ensure all parts are correctly assigned.",
  "reflection": "The thought process identified a critical issue with the part where the input string is split into components. This mismatch is likely why all test cases return an unexpected value.",
  "hint": "Check how the input is split into expected variables; ensure all parts are correctly assigned."
}
```</t>
  </si>
  <si>
    <t>5.068910121917725</t>
  </si>
  <si>
    <t>The provided hint does not address that skipping the line for parts with less than three elements is incorrect, which is the core issue in the expected hint.</t>
  </si>
  <si>
    <t>It offers only a general instruction to check variable assignment, without suggesting multiple, distinct actions.</t>
  </si>
  <si>
    <t>```json
{
  "thought_on_correctness": "is solution correct based on the test case results",
  "thought_on_completeness": "is solution complete",
  "thought_on_next_steps": "if solution is incomplete, what is the likely next step",
  "thought_on_errors": "find any errors in the solution",
  "hint_first_draft": "Check the logic when splitting input lines. Ensure correct parsing of company, charge type, and amount.",
  "reflection": "The errors seem to stem from incorrect input parsing. It's crucial to ensure the input format is handled properly before the amounts can be added or subtracted correctly.",
  "hint": "Check the logic when splitting input lines. Ensure correct parsing of company, charge type, and amount."
}
```</t>
  </si>
  <si>
    <t>3.9902169704437256</t>
  </si>
  <si>
    <t>The provided hint is too general and does not match the specific expectation of avoiding the loop skip when parts != 3.</t>
  </si>
  <si>
    <t>It only suggests one action (checking the parsing logic) rather than multiple concrete steps.</t>
  </si>
  <si>
    <t>```json
{
  "thought_on_correctness": "The solution is incorrect based on the test case results as none of the test cases passed.",
  "thought_on_completeness": "The solution appears to be complete since it processes data and calculates results, although incorrectly.",
  "thought_on_next_steps": "N/A",
  "thought_on_errors": "There is a logical error in parsing the lines after splitting, which leads to not correctly identifying and processing the charge type and amount.",
  "hint_first_draft": "Check how you're splitting each line to get the charge type and amount. Ensure the split operation correctly processes each line's format.",
  "reflection": "The student's logic seems thorough but hinges on parsing the input correctly. Guiding them to review how they parse and handle each record should help them identify and rectify the main issue.",
  "hint": "Check how you're splitting each line to get the charge type and amount. Ensure the split operation correctly processes each line's format."
}
```</t>
  </si>
  <si>
    <t>4.639822006225586</t>
  </si>
  <si>
    <t>The hint does not cover the issue of incorrectly skipping when parts != 3, which is the main point of the expected hint.</t>
  </si>
  <si>
    <t>It only generally advises to 'check the split operation' without indicating a specific step to remove or replace the skipping condition.</t>
  </si>
  <si>
    <t>It does not provide any Python code or snippet in the hint.</t>
  </si>
  <si>
    <t>```json
{
  "thought_on_correctness": "The solution is incorrect based on the test case results.",
  "thought_on_completeness": "The solution is complete.",
  "thought_on_next_steps": "N/A",
  "thought_on_errors": "The main error is the incorrect parsing of the record amount as it assumes there are consistently 3 parts per split line.",
  "hint_first_draft": "Check how you are parsing the records to correctly extract the type and amount.",
  "reflection": "The solution didn't produce correct outputs because the parsing logic incorrectly assumed a consistent number of parts after splitting the data lines.",
  "hint": "Check how you are parsing the records to correctly extract the type and amount."
}
```</t>
  </si>
  <si>
    <t>3.5999698638916016</t>
  </si>
  <si>
    <t>The hint does not directly address that it is incorrect to skip records whose parts do not have length 3, which is the main point of the expected hint.</t>
  </si>
  <si>
    <t>It provides only a general directive to check the parsing, rather than explicitly suggesting multiple distinct actions or steps.</t>
  </si>
  <si>
    <t>The hint does not contain any Python code or snippets, only a general statement.</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</si>
  <si>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 Initialize a dictionary to hold the total costs per company
    total_costs = {}
    add_types = {'Seat', 'Meals', 'Luggage', 'Fee', 'Tax'}
    subtract_types = {'Discount', 'Rebate'}
    # Process each line in the data
    for line in data:
        if ': ' not in line:
            continue
        company_code, rest = line.split(': ', 1)
        parts = rest.strip().split(' ')
        if len(parts) != 3:
            continue
        charge_type, amount_str = parts
        amount = int(amount_str)
        if company_code not in total_costs:
            total_costs[company_code] = 0
        if charge_type in add_types:
            total_costs[company_code] += amount
        elif charge_type in subtract_types:
            total_costs[company_code] -= amount
        else:
            continue  # Skip unknown charge types
    # Now, find the minimal total cost
    if not total_costs:
        return 0  # If no companies, return 0
    else:
        min_cost = min(total_costs.values())
        return min_cost
Test Case Results:
{'testCases': [{'actualOutput': '0', 'passed': False, 'userPrints': '', 'testCase': {'input': ['AAA: Seat 9997', 'BBB: Discount 2886', 'DDD: Luggage 3500', 'CCC: Fee 9468', 'BBB: Fee 9378', 'AAA: Discount 3103'], 'expectedOutput': 3500, 'description': 'Basic test'}}, {'actualOutput': '0',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</si>
  <si>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"hint": "You're expecting three parts while the record only splits into two. Adjust your split to correctly extract the type and amount."
}</t>
  </si>
  <si>
    <t>6.3209898471832275</t>
  </si>
  <si>
    <t>The provided hint focuses on adjusting the split logic, but the expected hint specifically states that skipping the iteration if parts != 3 is incorrect. Thus, the given hint does not match the core intention of the expected hint.</t>
  </si>
  <si>
    <t>It suggests only one change‚Äîadjusting how the split is done‚Äîto extract the type and amount.</t>
  </si>
  <si>
    <t>{"hint": "Your line split expects three parts, but records split into two. Adjust the splitting logic to correctly extract the cost category and amount."}</t>
  </si>
  <si>
    <t>10.178861618041992</t>
  </si>
  <si>
    <t>Both the given and expected hints address the issue that records with less than three parts are being skipped and recommend altering the parsing approach to handle them correctly.</t>
  </si>
  <si>
    <t>The hint only suggests a single action step: adjust the splitting logic. It does not provide multiple distinct steps.</t>
  </si>
  <si>
    <t>{"hint": "Your record splitting expects three items, but the input only has two. Adjust your parsing logic to properly extract the cost type and amount."}</t>
  </si>
  <si>
    <t>The hint correctly identifies the issue of expecting three items instead of two and suggests adjusting parsing logic, which matches the intention of not prematurely skipping lines.</t>
  </si>
  <si>
    <t>It only suggests adjusting parsing logic as one action, rather than multiple discrete steps.</t>
  </si>
  <si>
    <t>questions/purchase_tickets/3_logical.py</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</si>
  <si>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total_costs = {}
    for line in data:
        company_code, rest = line.split(': ', 1)
        parts = rest.strip().split(' ')
        charge_type, amount_str = parts
        amount = int(amount_str)
        if company_code not in total_costs:
            total_costs[company_code] = 0
        if charge_type in ['Seat', 'Meals', 'Luggage', 'fee', 'Tax']:
            total_costs[company_code] += amount
        elif charge_type in ['Discount', 'Rebate']:
            total_costs[company_code] -= amount
    min_cost = min(total_costs.values())
    return min_cost
Test Case Results:
{'testCases': [{'actualOutput': '-2886', 'passed': False, 'userPrints': '', 'testCase': {'input': ['AAA: Seat 9997', 'BBB: Discount 2886', 'DDD: Luggage 3500', 'CCC: Fee 9468', 'BBB: Fee 9378', 'AAA: Discount 3103'], 'expectedOutput': 3500, 'description': 'Basic test'}}, {'actualOutput': '-2886',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'-300',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</si>
  <si>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"The solution is complete but has a logical error. The code is checking for 'fee' (lowercase) instead of 'Fee' (uppercase) in the cost categories list, causing fee charges to be ignored in calculations. This leads to incorrect totals.",
  "is_complete": true,
  "is_correct": false,
  "errors_or_next_steps": "Case sensitivity error in cost category comparison",
  "hint": "Watch out for uppercase and lowercase letters when checking categories. The test data shows a specific pattern for category names."
}</t>
  </si>
  <si>
    <t>3.6849210262298584</t>
  </si>
  <si>
    <t>It addresses the same issue of capitalization (i.e., 'fee' vs. 'Fee'), matching the expected intention.</t>
  </si>
  <si>
    <t>It suggests only one main action: to check for case differences in the category names.</t>
  </si>
  <si>
    <t>It does not provide any specific Python code or snippets.</t>
  </si>
  <si>
    <t>'fee' is not correctly capitalised.</t>
  </si>
  <si>
    <t>{
    "thought": "The solution is complete but incorrect. The main error is case sensitivity in the charge types. 'fee' is lowercase in the if condition but 'Fee' in the input, causing fees to not be added to total costs.",
    "is_complete": true,
    "is_correct": false,
    "errors_or_next_steps": "Case sensitivity issue in checking charge types",
    "hint": "Double-check your text comparisons. Remember that 'Fee' and 'fee' are not the same thing in most cases!"
}</t>
  </si>
  <si>
    <t>4.023598909378052</t>
  </si>
  <si>
    <t>They both point out that the capitalization of 'fee' is incorrect or needs careful review.</t>
  </si>
  <si>
    <t>The hint only suggests one action: checking the text comparisons for 'Fee' vs. 'fee'.</t>
  </si>
  <si>
    <t>There is no specific Python code or snippet in the hint.</t>
  </si>
  <si>
    <t>{
    "thought": "Looking at the solution and test results, I notice the code is complete but has a case sensitivity issue with 'fee' vs 'Fee' in the cost categories check. This is causing fees to not be added to the total cost, leading to incorrect calculations.",
    "is_complete": true,
    "is_correct": false,
    "errors_or_next_steps": "Case sensitivity error in expense categories check",
    "hint": "Watch out for uppercase and lowercase letters when checking expense types. Some charges might be getting ignored because of this!"
}</t>
  </si>
  <si>
    <t>3.4226791858673096</t>
  </si>
  <si>
    <t>The hint and the expected hint both indicate a problem with the capitalization of 'fee', so the intention matches.</t>
  </si>
  <si>
    <t>It only suggests a single general adjustment (handling uppercase/lowercase) rather than multiple actions.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</si>
  <si>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 "your thought process on the rules and what hint to give"
  is_complete: &lt;answer boolean&gt;
  is_correct: &lt;answer boolean&gt;
  errors_or_next_steps: &lt;answer string&gt;
  hint_first_draft: &lt;answer string&gt;
  reflection: "do a final reflection on your thought process and hint"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total_costs = {}
    for line in data:
        company_code, rest = line.split(': ', 1)
        parts = rest.strip().split(' ')
        charge_type, amount_str = parts
        amount = int(amount_str)
        if company_code not in total_costs:
            total_costs[company_code] = 0
        if charge_type in ['Seat', 'Meals', 'Luggage', 'fee', 'Tax']:
            total_costs[company_code] += amount
        elif charge_type in ['Discount', 'Rebate']:
            total_costs[company_code] -= amount
    min_cost = min(total_costs.values())
    return min_cost
Test Case Results:
{'testCases': [{'actualOutput': '-2886', 'passed': False, 'userPrints': '', 'testCase': {'input': ['AAA: Seat 9997', 'BBB: Discount 2886', 'DDD: Luggage 3500', 'CCC: Fee 9468', 'BBB: Fee 9378', 'AAA: Discount 3103'], 'expectedOutput': 3500, 'description': 'Basic test'}}, {'actualOutput': '-2886',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'-300',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</si>
  <si>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 "Looking at the solution and test cases, the main issue is case sensitivity in checking charge types. The code checks for 'fee' (lowercase) but the input has 'Fee' (uppercase), causing fees to not be added to the total.",
    "is_complete": true,
    "is_correct": false,
    "errors_or_next_steps": "Case sensitivity mismatch in charge type comparison",
    "hint_first_draft": "Double-check if your conditions match exactly with the categories in the input, paying attention to uppercase and lowercase letters.",
    "reflection": "The hint needs to be more subtle while still pointing to case sensitivity. Let's rephrase it to be more intuitive.",
    "hint": "Look carefully at how you're checking the expense categories. Are you sure 'Fee' and 'fee' are the same thing?"
}</t>
  </si>
  <si>
    <t>4.506410121917725</t>
  </si>
  <si>
    <t>The hint accurately points to the mismatch in case for 'Fee' vs 'fee', aligning with the expected hint that 'fee' is incorrectly capitalized.</t>
  </si>
  <si>
    <t>It only suggests a single action‚Äîcorrect the capitalization‚Äîrather than multiple steps.</t>
  </si>
  <si>
    <t>No specific Python code snippets or references are provided in the hint.</t>
  </si>
  <si>
    <t>{
  "thought": "Looking at the code and test results, the solution is complete but incorrect. The main logical error is case sensitivity in checking charge types - 'fee' is lowercase while 'Fee' in input is uppercase, causing fee charges to be ignored.",
  "is_complete": true,
  "is_correct": false,
  "errors_or_next_steps": "Case sensitivity mismatch in charge type comparison",
  "hint_first_draft": "Check your text matching carefully. Sometimes the difference between upper and lower case letters can make a big difference!",
  "reflection": "The hint points to the case sensitivity issue without directly giving away the solution. It's concise and encourages the student to look more carefully at their string comparisons.",
  "hint": "Double-check your text matching for charge types. Are you sure 'fee' and 'Fee' are the same thing to a computer?"
}</t>
  </si>
  <si>
    <t>Both the provided hint and the expected hint focus on checking the mismatch in capitalisation for 'fee'.</t>
  </si>
  <si>
    <t>It suggests just a single action: verifying the text matching for 'fee' vs 'Fee'.</t>
  </si>
  <si>
    <t>{
    "thought": "Looking at the code and test results, I notice the student's solution is complete but has a case sensitivity error in checking cost categories. 'Fee' is checked as 'fee' which means fees aren't being added to the total cost.",
    "is_complete": true,
    "is_correct": false,
    "errors_or_next_steps": "Case sensitivity error in category checking causing fees to be ignored in total calculation",
    "hint_first_draft": "Check your spelling carefully! Some charges aren't being counted because of a small detail in how you wrote their names.",
    "reflection": "The hint should be more specific about case sensitivity without directly pointing to 'Fee' vs 'fee'. The hint should guide them to discover the issue.",
    "hint": "Double-check the exact spelling and capitalization of the charge types in your condition. One of them isn't matching the input format!"
}</t>
  </si>
  <si>
    <t>5.661001920700073</t>
  </si>
  <si>
    <t>The hint advises checking the spelling/capitalization of the charge types, which aligns with the expected hint about 'fee' being mis-capitalized.</t>
  </si>
  <si>
    <t>It suggests only one general action: verify spelling and capitalization. There is not more than one distinct next step.</t>
  </si>
  <si>
    <t>The hint does not provide any code snippet or explicit Python syntax.</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</si>
  <si>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thought_on_correctness: "is solution correct based on the test case results"
  thought_on_completeness: "is solution complete"
  thought_on_next_steps: "if solution is incomplete, what is the likely next step"
  thought_on_errors: "find any errors in the solution"
  hint_first_draft: &lt;answer string&gt;
  reflection: "do a final reflection on your thought process and hint based on the rules provided"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total_costs = {}
    for line in data:
        company_code, rest = line.split(': ', 1)
        parts = rest.strip().split(' ')
        charge_type, amount_str = parts
        amount = int(amount_str)
        if company_code not in total_costs:
            total_costs[company_code] = 0
        if charge_type in ['Seat', 'Meals', 'Luggage', 'fee', 'Tax']:
            total_costs[company_code] += amount
        elif charge_type in ['Discount', 'Rebate']:
            total_costs[company_code] -= amount
    min_cost = min(total_costs.values())
    return min_cost
Test Case Results:
{'testCases': [{'actualOutput': '-2886', 'passed': False, 'userPrints': '', 'testCase': {'input': ['AAA: Seat 9997', 'BBB: Discount 2886', 'DDD: Luggage 3500', 'CCC: Fee 9468', 'BBB: Fee 9378', 'AAA: Discount 3103'], 'expectedOutput': 3500, 'description': 'Basic test'}}, {'actualOutput': '-2886',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'-300',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</si>
  <si>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
    "thought_on_correctness": "Solution is incorrect as all test cases are failing",
    "thought_on_completeness": "Solution is complete but has logical errors",
    "thought_on_next_steps": "N/A - solution is complete but needs fixing",
    "thought_on_errors": "The 'Fee' category check is using lowercase 'fee' instead of 'Fee', causing fees to not be added to total costs",
    "hint_first_draft": "Check your spelling carefully! One of your cost categories isn't being recognized because of a case mismatch.",
    "reflection": "Hint is concise, doesn't give away the solution, and focuses on the most immediate error to fix - the case sensitivity issue",
    "hint": "Double-check your spelling! Some costs might not be adding up because of letter case differences."
}</t>
  </si>
  <si>
    <t>4.709676027297974</t>
  </si>
  <si>
    <t>The hint addresses the same underlying issue of mismatched letter cases, aligning with the expected hint about 'fee' capitalization.</t>
  </si>
  <si>
    <t>The hint provides one main action: checking spelling and casing, which is effectively a single step.</t>
  </si>
  <si>
    <t>{
    "thought_on_correctness": "Solution is incorrect as all test cases failed",
    "thought_on_completeness": "Solution is complete but has logical errors",
    "thought_on_next_steps": "N/A - solution is complete",
    "thought_on_errors": "The 'Fee' check in the if condition uses lowercase 'fee' instead of 'Fee', causing fees to not be added to total costs",
    "hint_first_draft": "Check your spelling carefully! One of your cost categories isn't being counted because of a case sensitivity issue.",
    "reflection": "The hint follows guidelines by being conversational, not giving away the solution, and focusing on one specific error without mentioning function names",
    "hint": "Look closely at how you've written your cost categories - capitalization matters!"
}</t>
  </si>
  <si>
    <t>5.360749959945679</t>
  </si>
  <si>
    <t>The hint correctly points out the same issue as the expected hint: a capitalization problem in the cost categories.</t>
  </si>
  <si>
    <t>It only instructs to check capitalization, which is a single action or step.</t>
  </si>
  <si>
    <t>It does not include any code or specific code snippet.</t>
  </si>
  <si>
    <t>{
    "thought_on_correctness": "Solution is incorrect as all test cases failed",
    "thought_on_completeness": "Solution is complete but has logical errors",
    "thought_on_next_steps": "N/A as solution is complete",
    "thought_on_errors": "The 'Fee' category check is using lowercase 'fee' instead of 'Fee', causing fees to not be added to the total cost",
    "hint_first_draft": "Check your spelling and capitalization carefully. One of your expense categories isn't being recognized because of a case mismatch.",
    "reflection": "The hint focuses on the most immediate error (case sensitivity) without giving away the exact solution. It's concise and conversational.",
    "hint": "Double-check your expense category spellings. Remember that computers are very particular about capital letters!"
}</t>
  </si>
  <si>
    <t>4.945374965667725</t>
  </si>
  <si>
    <t>The hint aligns with the same intention as the expected hint (checking 'fee' capitalization).</t>
  </si>
  <si>
    <t>It provides a single action (recheck capitalization) rather than multiple steps.</t>
  </si>
  <si>
    <t>No specific Python code snippets are provided.</t>
  </si>
  <si>
    <t>```json
{
  "thought_on_correctness": "solution is incorrect based on the test case results",
  "thought_on_completeness": "solution is complete",
  "thought_on_next_steps": "consider correcting the handling of cost categories",
  "thought_on_errors": "the check for cost categories is case-sensitive, and 'Fee' should be consistent",
  "hint_first_draft": "Ensure your checks for cost categories match the expected case to avoid misclassifying entries.",
  "reflection": "I confirmed the correctness based on test results, identified that the solution is complete, and found a critical case-sensitivity error. The hint encourages correcting that specific error.",
  "hint": "Ensure your checks for cost categories match the expected case to avoid misclassifying entries."
}
```</t>
  </si>
  <si>
    <t>2.5541279315948486</t>
  </si>
  <si>
    <t>The hint aligns with identifying 'fee' as incorrectly capitalized by emphasizing correct case matching for categories.</t>
  </si>
  <si>
    <t>It only suggests one action: ensuring the proper case for cost categories.</t>
  </si>
  <si>
    <t>No explicit code example or snippet is given.</t>
  </si>
  <si>
    <t>```json
{
  "thought_on_correctness": "is solution incorrect based on the test case results",
  "thought_on_completeness": "is solution complete",
  "thought_on_next_steps": "review the logic for handling category cases",
  "thought_on_errors": "there is a syntax error with category names not matching correctly",
  "hint_first_draft": "Check your category matching; ensure all cases, like 'Fee' and 'fee', are treated the same.",
  "reflection": "I determined the solution is incorrect based on test results, confirming multiple failures. The likely next step involves fixing the case sensitivity in category names, which is a syntax-related issue. Offering a hint that emphasizes this is crucial.",
  "hint": "Check your category matching; ensure all cases, like 'Fee' and 'fee', are handled consistently."
}
```</t>
  </si>
  <si>
    <t>2.3643648624420166</t>
  </si>
  <si>
    <t>The given hint accurately addresses the same issue as the expected hint: that 'fee' may need consistent capitalization or handling.</t>
  </si>
  <si>
    <t>It only provides one main action: ensure that 'Fee' and 'fee' are treated consistently.</t>
  </si>
  <si>
    <t>The hint does not provide any code or snippets, only a textual instruction.</t>
  </si>
  <si>
    <t>{
  "thought_on_correctness": "solution incorrect based on the test case results",
  "thought_on_completeness": "solution complete",
  "thought_on_next_steps": "the likely next step is to address the category handling for cost types",
  "thought_on_errors": "the charge type 'fee' is used incorrectly as it should be capitalized as 'Fee'.",
  "hint_first_draft": "Check your handling of charge types; 'fee' should be 'Fee'.",
  "reflection": "I reviewed the solution against the provided test cases and identified an error with case sensitivity that directly affects the output. The suggested hint targets the immediate issue for rectification.",
  "hint": "Check your handling of charge types; 'fee' should be 'Fee'."
}</t>
  </si>
  <si>
    <t>8.087235689163208</t>
  </si>
  <si>
    <t>The hint aligns with the expected advice to correct the capitalization from 'fee' to 'Fee'.</t>
  </si>
  <si>
    <t>It only directs the user to perform a single action: correct the capitalization of 'fee'.</t>
  </si>
  <si>
    <t>```json
{
  "thought": "The solution is incorrect as it failed all test cases. It's complete because it attempts to handle all conditions. There's a syntax error: 'fee' should be 'Fee'.",
  "is_complete": true,
  "is_correct": false,
  "errors_or_next_steps": "Syntax error in the charge type comparisons.",
  "hint": "Pay close attention to the case sensitivity of strings; it's causing a mismatch."
}
```</t>
  </si>
  <si>
    <t>2.968204975128174</t>
  </si>
  <si>
    <t>The hint aligns with the same underlying issue: a mismatch caused by incorrect case usage for 'fee'.</t>
  </si>
  <si>
    <t>It only suggests checking case sensitivity as a single action rather than proposing multiple steps or solutions.</t>
  </si>
  <si>
    <t>No specific code snippets or Python instructions are provided.</t>
  </si>
  <si>
    <t>```json
{
  "thought": "The student's solution is incorrect based on failed test cases. It is a complete solution but contains logical errors. One of the errors is in case sensitivity for 'Fee'.",
  "is_complete": true,
  "is_correct": false,
  "errors_or_next_steps": "Ensure all category keywords are matched case-sensitively.",
  "hint": "Double-check the case sensitivity of the category keywords in your logic."
}
```</t>
  </si>
  <si>
    <t>2.661388635635376</t>
  </si>
  <si>
    <t>The hint generally matches the intention to check for incorrect capitalization (specifically relating to 'fee').</t>
  </si>
  <si>
    <t>It suggests only one action: verifying the case sensitivity of category keywords.</t>
  </si>
  <si>
    <t>No specific code snippets or references to Python methods are included.</t>
  </si>
  <si>
    <t>```json
{
  "thought": "The test cases failed because of incorrect capitalization in the list of charge types. The solution is not complete but is close to correctness with handling different charge types. The hint focuses on the capitalization issue.",
  "is_complete": true,
  "is_correct": false,
  "errors_or_next_steps": "The error is due to incorrect handling of capitalization in charge types.",
  "hint": "Check if all charge types are correctly capitalized as they appear in the input data."
}
```</t>
  </si>
  <si>
    <t>2.7593460083007812</t>
  </si>
  <si>
    <t>The hint focuses on verifying capitalization issues, which aligns with noticing that 'fee' is not correctly capitalized.</t>
  </si>
  <si>
    <t>It only suggests one action: checking the charge types against their expected capitalization.</t>
  </si>
  <si>
    <t>No specific code snippet or Python code is included in the hint.</t>
  </si>
  <si>
    <t>```json
{
  "thought": "The solution is incorrect as all test cases failed. It seems the student made a mistake in their capitalization handling for charge types. The error likely involves case sensitivity in 'fee'. The solution appears complete.",
  "is_complete": true,
  "is_correct": false,
  "errors_or_next_steps": "The issue may be caused by incorrect case handling for 'Fee'.",
  "hint_first_draft": "Check the capitalization used for 'Fee' when adding costs.",
  "reflection": "I focused on the capitalization error with 'Fee' since it's a common mistake. I'm confident this is clear guidance.",
  "hint": "Check the capitalization used for 'Fee' when adding costs."
}
```</t>
  </si>
  <si>
    <t>5.5290679931640625</t>
  </si>
  <si>
    <t>The given hint and the expected hint both point to the issue of 'fee' vs 'Fee' capitalization.</t>
  </si>
  <si>
    <t>The hint only suggests a single action: verify/change the capitalization of 'fee'.</t>
  </si>
  <si>
    <t>```json
{
  "thought": "The test case results indicate the solution is incorrect because none passed. The solution seems complete but has a logical error since the actual outputs don't align with expected outputs. There's likely case sensitivity in category names causing the logic error.",
  "is_complete": true,
  "is_correct": false,
  "errors_or_next_steps": "There's likely a case sensitivity issue in category names causing incorrect calculations.",
  "hint_first_draft": "Check for potential case sensitivity issues in category names affecting calculations.",
  "reflection": "I identified a likely case sensitivity issue because the unexpected outputs suggest misclassification of cost categories. The hint focuses on prompting the student to investigate case sensitivity without overtly pointing towards exact syntax locations.",
  "hint": "Check for potential case sensitivity issues in category names affecting calculations."
}
```</t>
  </si>
  <si>
    <t>Both the provided hint and the expected hint point to case sensitivity issues, thus matching in intention.</t>
  </si>
  <si>
    <t>It suggests one primary action (checking case sensitivity), not multiple distinct steps.</t>
  </si>
  <si>
    <t>```json
{
  "thought": "The solution is incorrect as all test cases failed. It is complete since it handles both cost addition and subtraction. Upon review, the error seems to be a mistyped cost category 'fee' instead of 'Fee'. Fixing this should impact the calculations.",
  "is_complete": true,
  "is_correct": false,
  "errors_or_next_steps": "The category 'fee' should be 'Fee'.",
  "hint_first_draft": "Check the capital letters in your cost categories.",
  "reflection": "The hint focuses on the specific syntax error in category naming, which is likely the root of the incorrect calculations. This approach helps the student identify the immediate fix needed.",
  "hint": "Check the capital letters in your cost categories."
}
```</t>
  </si>
  <si>
    <t>4.537546873092651</t>
  </si>
  <si>
    <t>The hint aligns with the expected hint's intention to fix the capitalization issue (specifically 'fee').</t>
  </si>
  <si>
    <t>It suggests only a single action: checking the capital letters in the cost categories.</t>
  </si>
  <si>
    <t>It does not include any Python code snippets.</t>
  </si>
  <si>
    <t>```json
{
  "thought_on_correctness": "The solution is incorrect based on the test case results.",
  "thought_on_completeness": "The solution seems complete but has logical errors.",
  "thought_on_next_steps": "The format for determining what adds and subtracts from the total cost is already defined, so the focus should be on spotting logical flaws in the implementation.",
  "thought_on_errors": "There is a logical error in the way categories that affect the cost positively or negatively are checked. The category 'fee' should be 'Fee'.",
  "hint_first_draft": "Check the categorizations for adding and subtracting costs. One of them might be capitalized incorrectly.",
  "reflection": "The errors in capitalization of categories create incorrect logic in determining which amounts add or subtract from the total costs. Adjusting this should resolve the core issue.",
  "hint": "Check the categorizations for adding and subtracting costs. One of them might be capitalized incorrectly."
}
```</t>
  </si>
  <si>
    <t>The hint points to the incorrectly capitalized cost type, which aligns with the expected hint about 'fee' being incorrectly capitalized.</t>
  </si>
  <si>
    <t>It only instructs the user to check the capitalization error, which is a single step.</t>
  </si>
  <si>
    <t>No code or code snippet is included in this hint.</t>
  </si>
  <si>
    <t>```json
{
  "thought_on_correctness": "The solution is incorrect based on the test case results.",
  "thought_on_completeness": "The solution appears to be complete.",
  "thought_on_next_steps": "N/A",
  "thought_on_errors": "There is a logical error where 'Fee' should be included in addition operations but it was typed as 'fee'.",
  "hint_first_draft": "Check the category handling logic, particularly capitalization inconsistencies in the categories being added or subtracted.",
  "reflection": "The error stems from a case-sensitivity issue which affects the logic for determining costs. Addressing this will guide the student towards correct results, aligning with the task requirements.",
  "hint": "Check the category handling logic, particularly capitalization inconsistencies in the categories being added or subtracted."
}
```</t>
  </si>
  <si>
    <t>4.507930040359497</t>
  </si>
  <si>
    <t>The hint aligns with the expectation to address the capitalization issue in the categories, matching the intention that 'fee' is incorrectly capitalized.</t>
  </si>
  <si>
    <t>It provides a single action (checking/fixing capitalization) rather than multiple distinct steps.</t>
  </si>
  <si>
    <t>No specific Python code or snippets are given; it only mentions checking capitalization.</t>
  </si>
  <si>
    <t>```json
{
  "thought_on_correctness": "The solution is incorrect based on the test case results.",
  "thought_on_completeness": "The solution is complete but contains errors.",
  "thought_on_next_steps": "N/A",
  "thought_on_errors": "There's a case sensitivity issue with category names.",
  "hint_first_draft": "Check the category names for case sensitivity; ensure consistency with provided categories.",
  "reflection": "Upon reviewing the thought process, the hint should point the student towards examining category names for case sensitivity, a common source of logical errors when handling strings.",
  "hint": "Check the category names for case sensitivity; ensure consistency with provided categories."
}
```</t>
  </si>
  <si>
    <t>3.585909843444824</t>
  </si>
  <si>
    <t>The hint matches the intent of emphasizing incorrect capitalization of 'fee'.</t>
  </si>
  <si>
    <t>It primarily suggests a single fix (checking and aligning category names).</t>
  </si>
  <si>
    <t xml:space="preserve">
  You are a coding teacher whose goal is to provide a short and concise hint in a conversational style. 
  Based on the question given, the student's solution, and test case results do the following:
  1. Determine if solution is correct or incorrect based on the test case results only
  2. If solution is corret, return a hint that congratulates them and let's them know they are correct. do not mention any further improvements.
  3. Determine if the solution is complete or incomplete
  4. If solution is complete: Identify the logical errors in the solution
  5. If there are multiple errors, only point out one error, and syntax errors take precedence over logical errors
  6. If solution is incomplete: determine the likely next step focusing on a single immediate action to be taken
  7. Return a hint which is less than 50 words based on one error the student should rectify or the immediate next step the student should take
  8. Try not to make explicit references to programming function names or methods where possible
  9. DO NOT give the correct solution, only give a hint
  Return your answer in the JSON format with the following keys. ONLY RETURN JSON OBJECT. No other text outside it. ENSURE YOU RETURN VALID JSON:
  hint: &lt;answer string&gt;
Question:
Given a list of records for various companies, each record specifies a company name, a cost category, and an amount. Categories like "Seat", "Meals", "Luggage", "Fee", and "Tax" add to the company's total cost, while categories such as "Discount" and "Rebate" subtract from it. Your task is to compute the final cost for each company and return the minimum final cost among all companies.
Simplified Example
Input:
AAA: Seat 9997  
BBB: Discount 2886  
DDD: Luggage 3500  
AAA: Tax 156  
CCC: Fee 9468  
BBB: Fee 9378  
AAA: Discount 3103  
DDD: Rebate 967  
Expected Output:  
2533  
Student Solution:
def solution(data):
    total_costs = {}
    for line in data:
        company_code, rest = line.split(': ', 1)
        parts = rest.strip().split(' ')
        charge_type, amount_str = parts
        amount = int(amount_str)
        if company_code not in total_costs:
            total_costs[company_code] = 0
        if charge_type in ['Seat', 'Meals', 'Luggage', 'fee', 'Tax']:
            total_costs[company_code] += amount
        elif charge_type in ['Discount', 'Rebate']:
            total_costs[company_code] -= amount
    min_cost = min(total_costs.values())
    return min_cost
Test Case Results:
{'testCases': [{'actualOutput': '-2886', 'passed': False, 'userPrints': '', 'testCase': {'input': ['AAA: Seat 9997', 'BBB: Discount 2886', 'DDD: Luggage 3500', 'CCC: Fee 9468', 'BBB: Fee 9378', 'AAA: Discount 3103'], 'expectedOutput': 3500, 'description': 'Basic test'}}, {'actualOutput': '-2886', 'passed': False, 'userPrints': '', 'testCase': {'input': ['SuperSpace: Seat 9997', 'OrionTravles: Discount 2886', 'Galactica: Luggage 3500', 'SuperSpace: Tax 156', 'EarthExpress: Fee 9468', 'OrionTravles: Fee 9378', 'SuperSpace: Discount 3103', 'Galactica: Rebate 967'], 'expectedOutput': 2533, 'description': 'check if different length company names are handled'}}, {'actualOutput': '-300', 'passed': False, 'userPrints': '', 'testCase': {'input': ['AAA: Seat 3000', 'AAA: Meals 1000', 'AAA: Luggage 2000', 'AAA: Fee 1000', 'AAA: Tax 1000', 'AAA: Rebate 500', 'AAA: Discount 200', 'BBB: Seat 5000', 'BBB: Meals 1000', 'BBB: Discount 200', 'CCC: Discount 300', 'CCC: Fee 1000'], 'expectedOutput': 700, 'description': 'check if all cost types are accounted for'}}], 'numPassed': 0, 'numFailed': 3, 'stderr': ''}
</t>
  </si>
  <si>
    <t>{"hint": "Your code is complete but the condition for positive charges doesn't match the correct case. Check the capitalization for 'Fee' so it correctly adds to the totals."}</t>
  </si>
  <si>
    <t>7.435513019561768</t>
  </si>
  <si>
    <t>The hint accurately addresses the same issue as the expected hint, i.e., incorrect capitalization of 'fee'.</t>
  </si>
  <si>
    <t>The hint suggests only one single change: correcting the capitalization of 'fee' to 'Fee'.</t>
  </si>
  <si>
    <t>The hint does not include any direct code snippet or lines of Python code.</t>
  </si>
  <si>
    <t>{"hint": "Your check for fee is case-sensitive. Ensure you compare with the proper capitalization to correctly update the totals."}</t>
  </si>
  <si>
    <t>4.197316884994507</t>
  </si>
  <si>
    <t>The provided hint aligns with the expected hint in advising to use the correct capitalization for 'fee'.</t>
  </si>
  <si>
    <t>It suggests a single action: fix the capitalization issue for 'fee'.</t>
  </si>
  <si>
    <t>No specific code snippet or Python function calls are included in the hint.</t>
  </si>
  <si>
    <t>{"hint": "Your solution is complete but check the fee category comparison. Consider handling the letter case consistently so that 'Fee' is recognized correctly."}</t>
  </si>
  <si>
    <t>5.426025152206421</t>
  </si>
  <si>
    <t>The given hint matches the intention of pointing out the incorrect capitalization of 'fee'.</t>
  </si>
  <si>
    <t>It suggests only one action: handling the letter case for 'Fee' consistently.</t>
  </si>
  <si>
    <t>Approach</t>
  </si>
  <si>
    <t>avg. input tokens</t>
  </si>
  <si>
    <t>avg. output tokens</t>
  </si>
  <si>
    <t>avg. time taken</t>
  </si>
  <si>
    <t>correctness</t>
  </si>
  <si>
    <t>specificity</t>
  </si>
  <si>
    <t>level of detail</t>
  </si>
  <si>
    <t>cost per input token</t>
  </si>
  <si>
    <t>cost per output token</t>
  </si>
  <si>
    <t>avg. cost per hint</t>
  </si>
  <si>
    <t>avg. cost per 1000 hint</t>
  </si>
  <si>
    <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</si>
</sst>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2"/>
      <color rgb="FF000000"/>
      <name val="Aptos Narrow"/>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quotePrefix="1"/>
    <xf numFmtId="0" fontId="18" fillId="0" borderId="0" xfId="0" applyFont="1"/>
    <xf numFmtId="0" fontId="19" fillId="0" borderId="0" xfId="0" applyFont="1"/>
    <xf numFmtId="0" fontId="20" fillId="0" borderId="0" xfId="0" applyFont="1"/>
    <xf numFmtId="2" fontId="2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A42C-D0C0-564B-90F0-D5C43F5A84F3}">
  <sheetPr filterMode="1"/>
  <dimension ref="A1:AQ577"/>
  <sheetViews>
    <sheetView workbookViewId="0">
      <selection activeCell="J547" sqref="J547"/>
    </sheetView>
  </sheetViews>
  <sheetFormatPr baseColWidth="10" defaultRowHeight="16" x14ac:dyDescent="0.2"/>
  <cols>
    <col min="4" max="4" width="24.83203125" customWidth="1"/>
    <col min="6" max="6" width="39.6640625" customWidth="1"/>
    <col min="13" max="13" width="12.6640625" bestFit="1" customWidth="1"/>
    <col min="17" max="17" width="64.83203125" customWidth="1"/>
    <col min="34" max="34" width="33.83203125" bestFit="1" customWidth="1"/>
    <col min="35" max="35" width="14.5" bestFit="1" customWidth="1"/>
    <col min="36" max="36" width="15.6640625" bestFit="1" customWidth="1"/>
    <col min="37" max="37" width="13.1640625" bestFit="1" customWidth="1"/>
    <col min="40" max="40" width="11.83203125" bestFit="1" customWidth="1"/>
    <col min="41" max="41" width="17.1640625" bestFit="1" customWidth="1"/>
    <col min="42" max="42" width="18.33203125" bestFit="1" customWidth="1"/>
    <col min="43" max="43" width="14.6640625" bestFit="1"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AH1" s="3" t="s">
        <v>2781</v>
      </c>
      <c r="AI1" s="3" t="s">
        <v>2782</v>
      </c>
      <c r="AJ1" s="3" t="s">
        <v>2783</v>
      </c>
      <c r="AK1" s="3" t="s">
        <v>2784</v>
      </c>
      <c r="AL1" s="3" t="s">
        <v>2785</v>
      </c>
      <c r="AM1" s="3" t="s">
        <v>2786</v>
      </c>
      <c r="AN1" s="3" t="s">
        <v>2787</v>
      </c>
      <c r="AO1" s="3" t="s">
        <v>2788</v>
      </c>
      <c r="AP1" s="3" t="s">
        <v>2789</v>
      </c>
      <c r="AQ1" s="3" t="s">
        <v>2790</v>
      </c>
    </row>
    <row r="2" spans="1:43" hidden="1" x14ac:dyDescent="0.2">
      <c r="A2" t="s">
        <v>22</v>
      </c>
      <c r="B2" t="s">
        <v>23</v>
      </c>
      <c r="C2" t="s">
        <v>24</v>
      </c>
      <c r="D2" t="s">
        <v>25</v>
      </c>
      <c r="E2" t="s">
        <v>26</v>
      </c>
      <c r="F2" t="s">
        <v>27</v>
      </c>
      <c r="G2" t="s">
        <v>28</v>
      </c>
      <c r="H2">
        <v>1</v>
      </c>
      <c r="I2" s="1" t="s">
        <v>29</v>
      </c>
      <c r="J2" s="1" t="s">
        <v>30</v>
      </c>
      <c r="K2">
        <v>1240</v>
      </c>
      <c r="L2">
        <v>458</v>
      </c>
      <c r="M2">
        <v>125</v>
      </c>
      <c r="N2">
        <v>75</v>
      </c>
      <c r="O2" s="2" t="s">
        <v>31</v>
      </c>
      <c r="P2">
        <v>1</v>
      </c>
      <c r="Q2" t="s">
        <v>32</v>
      </c>
      <c r="R2">
        <v>1</v>
      </c>
      <c r="S2" t="s">
        <v>33</v>
      </c>
      <c r="T2">
        <v>1</v>
      </c>
      <c r="U2" t="s">
        <v>34</v>
      </c>
      <c r="V2" t="s">
        <v>35</v>
      </c>
      <c r="AH2" t="s">
        <v>27</v>
      </c>
      <c r="AI2">
        <f>AVERAGEIF($F$2:$F$577,$AH2,$K$2:$K$577)</f>
        <v>1222.75</v>
      </c>
      <c r="AJ2">
        <f>AVERAGEIF($F$2:$F$577,$AH2,$M$2:$M$577)</f>
        <v>132.40277777777777</v>
      </c>
      <c r="AK2">
        <f>AVERAGEIF($F$2:$F$577,$AH2,$O$2:$O$577)</f>
        <v>3.7664996147155763</v>
      </c>
      <c r="AL2">
        <f>AVERAGEIF($F$2:$F$577,$AH2,$P$2:$P$577)</f>
        <v>1</v>
      </c>
      <c r="AM2">
        <f>AVERAGEIF($F$2:$F$577,$AH2,$R$2:$R$577)</f>
        <v>0.84722222222222221</v>
      </c>
      <c r="AN2">
        <f>AVERAGEIF($F$2:$F$577,$AH2,$T$2:$T$577)</f>
        <v>1</v>
      </c>
      <c r="AO2">
        <f>3/1000000</f>
        <v>3.0000000000000001E-6</v>
      </c>
      <c r="AP2">
        <f>15/1000000</f>
        <v>1.5E-5</v>
      </c>
      <c r="AQ2">
        <f>AI2*AO2+AJ2*AP2</f>
        <v>5.6542916666666668E-3</v>
      </c>
    </row>
    <row r="3" spans="1:43" hidden="1" x14ac:dyDescent="0.2">
      <c r="A3" t="s">
        <v>22</v>
      </c>
      <c r="B3" t="s">
        <v>23</v>
      </c>
      <c r="C3" t="s">
        <v>24</v>
      </c>
      <c r="D3" t="s">
        <v>25</v>
      </c>
      <c r="E3" t="s">
        <v>26</v>
      </c>
      <c r="F3" t="s">
        <v>27</v>
      </c>
      <c r="G3" t="s">
        <v>28</v>
      </c>
      <c r="H3">
        <v>2</v>
      </c>
      <c r="I3" s="1" t="s">
        <v>29</v>
      </c>
      <c r="J3" s="1" t="s">
        <v>36</v>
      </c>
      <c r="K3">
        <v>1240</v>
      </c>
      <c r="L3">
        <v>458</v>
      </c>
      <c r="M3">
        <v>136</v>
      </c>
      <c r="N3">
        <v>87</v>
      </c>
      <c r="O3" s="2" t="s">
        <v>37</v>
      </c>
      <c r="P3">
        <v>1</v>
      </c>
      <c r="Q3" t="s">
        <v>38</v>
      </c>
      <c r="R3">
        <v>1</v>
      </c>
      <c r="S3" t="s">
        <v>39</v>
      </c>
      <c r="T3">
        <v>1</v>
      </c>
      <c r="U3" t="s">
        <v>40</v>
      </c>
      <c r="V3" t="s">
        <v>35</v>
      </c>
      <c r="AH3" t="s">
        <v>46</v>
      </c>
      <c r="AI3">
        <f t="shared" ref="AI3:AI9" si="0">AVERAGEIF($F$2:$F$577,$AH3,$K$2:$K$577)</f>
        <v>1250.75</v>
      </c>
      <c r="AJ3">
        <f t="shared" ref="AJ3:AJ9" si="1">AVERAGEIF($F$2:$F$577,$AH3,$M$2:$M$577)</f>
        <v>208.65277777777777</v>
      </c>
      <c r="AK3">
        <f t="shared" ref="AK3:AK9" si="2">AVERAGEIF($F$2:$F$577,$AH3,$O$2:$O$577)</f>
        <v>4.8547724246978756</v>
      </c>
      <c r="AL3">
        <f t="shared" ref="AL3:AL9" si="3">AVERAGEIF($F$2:$F$577,$AH3,$P$2:$P$577)</f>
        <v>0.93055555555555558</v>
      </c>
      <c r="AM3">
        <f t="shared" ref="AM3:AM9" si="4">AVERAGEIF($F$2:$F$577,$AH3,$R$2:$R$577)</f>
        <v>0.90277777777777779</v>
      </c>
      <c r="AN3">
        <f t="shared" ref="AN3:AN9" si="5">AVERAGEIF($F$2:$F$577,$AH3,$T$2:$T$577)</f>
        <v>1</v>
      </c>
      <c r="AO3">
        <f>3/1000000</f>
        <v>3.0000000000000001E-6</v>
      </c>
      <c r="AP3">
        <f>15/1000000</f>
        <v>1.5E-5</v>
      </c>
      <c r="AQ3">
        <f t="shared" ref="AQ3:AQ9" si="6">AI3*AO3+AJ3*AP3</f>
        <v>6.8820416666666665E-3</v>
      </c>
    </row>
    <row r="4" spans="1:43" hidden="1" x14ac:dyDescent="0.2">
      <c r="A4" t="s">
        <v>22</v>
      </c>
      <c r="B4" t="s">
        <v>23</v>
      </c>
      <c r="C4" t="s">
        <v>24</v>
      </c>
      <c r="D4" t="s">
        <v>25</v>
      </c>
      <c r="E4" t="s">
        <v>26</v>
      </c>
      <c r="F4" t="s">
        <v>27</v>
      </c>
      <c r="G4" t="s">
        <v>28</v>
      </c>
      <c r="H4">
        <v>3</v>
      </c>
      <c r="I4" s="1" t="s">
        <v>29</v>
      </c>
      <c r="J4" s="1" t="s">
        <v>41</v>
      </c>
      <c r="K4">
        <v>1240</v>
      </c>
      <c r="L4">
        <v>458</v>
      </c>
      <c r="M4">
        <v>131</v>
      </c>
      <c r="N4">
        <v>78</v>
      </c>
      <c r="O4" s="2" t="s">
        <v>42</v>
      </c>
      <c r="P4">
        <v>1</v>
      </c>
      <c r="Q4" t="s">
        <v>43</v>
      </c>
      <c r="R4">
        <v>1</v>
      </c>
      <c r="S4" t="s">
        <v>44</v>
      </c>
      <c r="T4">
        <v>1</v>
      </c>
      <c r="U4" t="s">
        <v>45</v>
      </c>
      <c r="V4" t="s">
        <v>35</v>
      </c>
      <c r="AH4" t="s">
        <v>61</v>
      </c>
      <c r="AI4">
        <f t="shared" si="0"/>
        <v>1285.75</v>
      </c>
      <c r="AJ4">
        <f t="shared" si="1"/>
        <v>207.18055555555554</v>
      </c>
      <c r="AK4">
        <f t="shared" si="2"/>
        <v>4.9602721418653219</v>
      </c>
      <c r="AL4">
        <f t="shared" si="3"/>
        <v>0.93055555555555558</v>
      </c>
      <c r="AM4">
        <f t="shared" si="4"/>
        <v>0.88888888888888884</v>
      </c>
      <c r="AN4">
        <f t="shared" si="5"/>
        <v>1</v>
      </c>
      <c r="AO4">
        <f>3/1000000</f>
        <v>3.0000000000000001E-6</v>
      </c>
      <c r="AP4">
        <f>15/1000000</f>
        <v>1.5E-5</v>
      </c>
      <c r="AQ4">
        <f t="shared" si="6"/>
        <v>6.9649583333333334E-3</v>
      </c>
    </row>
    <row r="5" spans="1:43" hidden="1" x14ac:dyDescent="0.2">
      <c r="A5" t="s">
        <v>22</v>
      </c>
      <c r="B5" t="s">
        <v>23</v>
      </c>
      <c r="C5" t="s">
        <v>24</v>
      </c>
      <c r="D5" t="s">
        <v>25</v>
      </c>
      <c r="E5" t="s">
        <v>26</v>
      </c>
      <c r="F5" t="s">
        <v>46</v>
      </c>
      <c r="G5" t="s">
        <v>28</v>
      </c>
      <c r="H5">
        <v>1</v>
      </c>
      <c r="I5" s="1" t="s">
        <v>47</v>
      </c>
      <c r="J5" s="1" t="s">
        <v>48</v>
      </c>
      <c r="K5">
        <v>1268</v>
      </c>
      <c r="L5">
        <v>472</v>
      </c>
      <c r="M5">
        <v>218</v>
      </c>
      <c r="N5">
        <v>145</v>
      </c>
      <c r="O5" s="2" t="s">
        <v>49</v>
      </c>
      <c r="P5">
        <v>1</v>
      </c>
      <c r="Q5" t="s">
        <v>50</v>
      </c>
      <c r="R5">
        <v>1</v>
      </c>
      <c r="S5" t="s">
        <v>51</v>
      </c>
      <c r="T5">
        <v>1</v>
      </c>
      <c r="U5" t="s">
        <v>52</v>
      </c>
      <c r="V5" t="s">
        <v>35</v>
      </c>
      <c r="AH5" t="s">
        <v>77</v>
      </c>
      <c r="AI5">
        <f t="shared" si="0"/>
        <v>1133.0416666666667</v>
      </c>
      <c r="AJ5">
        <f t="shared" si="1"/>
        <v>156.95833333333334</v>
      </c>
      <c r="AK5">
        <f t="shared" si="2"/>
        <v>6.3821489810943604</v>
      </c>
      <c r="AL5">
        <f t="shared" si="3"/>
        <v>0.65277777777777779</v>
      </c>
      <c r="AM5">
        <f t="shared" si="4"/>
        <v>0.90277777777777779</v>
      </c>
      <c r="AN5">
        <f t="shared" si="5"/>
        <v>1</v>
      </c>
      <c r="AO5">
        <f>0.15/1000000</f>
        <v>1.4999999999999999E-7</v>
      </c>
      <c r="AP5">
        <f>0.6/1000000</f>
        <v>5.9999999999999997E-7</v>
      </c>
      <c r="AQ5">
        <f t="shared" si="6"/>
        <v>2.6413125E-4</v>
      </c>
    </row>
    <row r="6" spans="1:43" hidden="1" x14ac:dyDescent="0.2">
      <c r="A6" t="s">
        <v>22</v>
      </c>
      <c r="B6" t="s">
        <v>23</v>
      </c>
      <c r="C6" t="s">
        <v>24</v>
      </c>
      <c r="D6" t="s">
        <v>25</v>
      </c>
      <c r="E6" t="s">
        <v>26</v>
      </c>
      <c r="F6" t="s">
        <v>46</v>
      </c>
      <c r="G6" t="s">
        <v>28</v>
      </c>
      <c r="H6">
        <v>2</v>
      </c>
      <c r="I6" s="1" t="s">
        <v>47</v>
      </c>
      <c r="J6" s="1" t="s">
        <v>53</v>
      </c>
      <c r="K6">
        <v>1268</v>
      </c>
      <c r="L6">
        <v>472</v>
      </c>
      <c r="M6">
        <v>206</v>
      </c>
      <c r="N6">
        <v>130</v>
      </c>
      <c r="O6" s="2" t="s">
        <v>54</v>
      </c>
      <c r="P6">
        <v>0</v>
      </c>
      <c r="Q6" t="s">
        <v>55</v>
      </c>
      <c r="R6">
        <v>1</v>
      </c>
      <c r="S6" t="s">
        <v>56</v>
      </c>
      <c r="T6">
        <v>1</v>
      </c>
      <c r="U6" t="s">
        <v>57</v>
      </c>
      <c r="V6" t="s">
        <v>35</v>
      </c>
      <c r="AH6" t="s">
        <v>94</v>
      </c>
      <c r="AI6">
        <f t="shared" si="0"/>
        <v>1077.0416666666667</v>
      </c>
      <c r="AJ6">
        <f t="shared" si="1"/>
        <v>106.88888888888889</v>
      </c>
      <c r="AK6">
        <f t="shared" si="2"/>
        <v>2.9299652576446533</v>
      </c>
      <c r="AL6">
        <f t="shared" si="3"/>
        <v>0.81944444444444442</v>
      </c>
      <c r="AM6">
        <f t="shared" si="4"/>
        <v>0.79166666666666663</v>
      </c>
      <c r="AN6">
        <f t="shared" si="5"/>
        <v>1</v>
      </c>
      <c r="AO6">
        <f>2.5/1000000</f>
        <v>2.5000000000000002E-6</v>
      </c>
      <c r="AP6">
        <f>10/1000000</f>
        <v>1.0000000000000001E-5</v>
      </c>
      <c r="AQ6">
        <f t="shared" si="6"/>
        <v>3.7614930555555561E-3</v>
      </c>
    </row>
    <row r="7" spans="1:43" hidden="1" x14ac:dyDescent="0.2">
      <c r="A7" t="s">
        <v>22</v>
      </c>
      <c r="B7" t="s">
        <v>23</v>
      </c>
      <c r="C7" t="s">
        <v>24</v>
      </c>
      <c r="D7" t="s">
        <v>25</v>
      </c>
      <c r="E7" t="s">
        <v>26</v>
      </c>
      <c r="F7" t="s">
        <v>46</v>
      </c>
      <c r="G7" t="s">
        <v>28</v>
      </c>
      <c r="H7">
        <v>3</v>
      </c>
      <c r="I7" s="1" t="s">
        <v>47</v>
      </c>
      <c r="J7" s="1" t="s">
        <v>58</v>
      </c>
      <c r="K7">
        <v>1268</v>
      </c>
      <c r="L7">
        <v>472</v>
      </c>
      <c r="M7">
        <v>205</v>
      </c>
      <c r="N7">
        <v>126</v>
      </c>
      <c r="O7">
        <v>4.7955560684204102</v>
      </c>
      <c r="P7">
        <v>0</v>
      </c>
      <c r="Q7" t="s">
        <v>59</v>
      </c>
      <c r="R7">
        <v>1</v>
      </c>
      <c r="S7" t="s">
        <v>60</v>
      </c>
      <c r="T7">
        <v>1</v>
      </c>
      <c r="U7" t="s">
        <v>45</v>
      </c>
      <c r="V7" t="s">
        <v>35</v>
      </c>
      <c r="AH7" t="s">
        <v>110</v>
      </c>
      <c r="AI7">
        <f t="shared" si="0"/>
        <v>1102.0416666666667</v>
      </c>
      <c r="AJ7">
        <f t="shared" si="1"/>
        <v>174.09722222222223</v>
      </c>
      <c r="AK7">
        <f t="shared" si="2"/>
        <v>3.1707412004470825</v>
      </c>
      <c r="AL7">
        <f t="shared" si="3"/>
        <v>0.83333333333333337</v>
      </c>
      <c r="AM7">
        <f t="shared" si="4"/>
        <v>0.86111111111111116</v>
      </c>
      <c r="AN7">
        <f t="shared" si="5"/>
        <v>1</v>
      </c>
      <c r="AO7">
        <f>2.5/1000000</f>
        <v>2.5000000000000002E-6</v>
      </c>
      <c r="AP7">
        <f>10/1000000</f>
        <v>1.0000000000000001E-5</v>
      </c>
      <c r="AQ7">
        <f t="shared" si="6"/>
        <v>4.4960763888888897E-3</v>
      </c>
    </row>
    <row r="8" spans="1:43" hidden="1" x14ac:dyDescent="0.2">
      <c r="A8" t="s">
        <v>22</v>
      </c>
      <c r="B8" t="s">
        <v>23</v>
      </c>
      <c r="C8" t="s">
        <v>24</v>
      </c>
      <c r="D8" t="s">
        <v>25</v>
      </c>
      <c r="E8" t="s">
        <v>26</v>
      </c>
      <c r="F8" t="s">
        <v>61</v>
      </c>
      <c r="G8" t="s">
        <v>28</v>
      </c>
      <c r="H8">
        <v>1</v>
      </c>
      <c r="I8" s="1" t="s">
        <v>62</v>
      </c>
      <c r="J8" s="1" t="s">
        <v>63</v>
      </c>
      <c r="K8">
        <v>1303</v>
      </c>
      <c r="L8">
        <v>494</v>
      </c>
      <c r="M8">
        <v>217</v>
      </c>
      <c r="N8">
        <v>128</v>
      </c>
      <c r="O8" s="2" t="s">
        <v>64</v>
      </c>
      <c r="P8">
        <v>0</v>
      </c>
      <c r="Q8" t="s">
        <v>65</v>
      </c>
      <c r="R8">
        <v>1</v>
      </c>
      <c r="S8" t="s">
        <v>66</v>
      </c>
      <c r="T8">
        <v>1</v>
      </c>
      <c r="U8" t="s">
        <v>67</v>
      </c>
      <c r="V8" t="s">
        <v>35</v>
      </c>
      <c r="AH8" t="s">
        <v>125</v>
      </c>
      <c r="AI8">
        <f t="shared" si="0"/>
        <v>1133.0416666666667</v>
      </c>
      <c r="AJ8">
        <f t="shared" si="1"/>
        <v>178.68055555555554</v>
      </c>
      <c r="AK8">
        <f t="shared" si="2"/>
        <v>4.1465467611948652</v>
      </c>
      <c r="AL8">
        <f t="shared" si="3"/>
        <v>0.86111111111111116</v>
      </c>
      <c r="AM8">
        <f t="shared" si="4"/>
        <v>0.83333333333333337</v>
      </c>
      <c r="AN8">
        <f t="shared" si="5"/>
        <v>1</v>
      </c>
      <c r="AO8">
        <f>2.5/1000000</f>
        <v>2.5000000000000002E-6</v>
      </c>
      <c r="AP8">
        <f>10/1000000</f>
        <v>1.0000000000000001E-5</v>
      </c>
      <c r="AQ8">
        <f t="shared" si="6"/>
        <v>4.6194097222222227E-3</v>
      </c>
    </row>
    <row r="9" spans="1:43" hidden="1" x14ac:dyDescent="0.2">
      <c r="A9" t="s">
        <v>22</v>
      </c>
      <c r="B9" t="s">
        <v>23</v>
      </c>
      <c r="C9" t="s">
        <v>24</v>
      </c>
      <c r="D9" t="s">
        <v>25</v>
      </c>
      <c r="E9" t="s">
        <v>26</v>
      </c>
      <c r="F9" t="s">
        <v>61</v>
      </c>
      <c r="G9" t="s">
        <v>28</v>
      </c>
      <c r="H9">
        <v>2</v>
      </c>
      <c r="I9" s="1" t="s">
        <v>62</v>
      </c>
      <c r="J9" s="1" t="s">
        <v>68</v>
      </c>
      <c r="K9">
        <v>1303</v>
      </c>
      <c r="L9">
        <v>494</v>
      </c>
      <c r="M9">
        <v>201</v>
      </c>
      <c r="N9">
        <v>116</v>
      </c>
      <c r="O9">
        <v>4.4995620250701904</v>
      </c>
      <c r="P9">
        <v>1</v>
      </c>
      <c r="Q9" t="s">
        <v>69</v>
      </c>
      <c r="R9">
        <v>1</v>
      </c>
      <c r="S9" t="s">
        <v>70</v>
      </c>
      <c r="T9">
        <v>1</v>
      </c>
      <c r="U9" t="s">
        <v>45</v>
      </c>
      <c r="V9" t="s">
        <v>35</v>
      </c>
      <c r="AH9" t="s">
        <v>141</v>
      </c>
      <c r="AI9">
        <f t="shared" si="0"/>
        <v>1041.0416666666667</v>
      </c>
      <c r="AJ9">
        <f t="shared" si="1"/>
        <v>564.51388888888891</v>
      </c>
      <c r="AK9">
        <f t="shared" si="2"/>
        <v>5.4265720163072855</v>
      </c>
      <c r="AL9">
        <f t="shared" si="3"/>
        <v>0.97222222222222221</v>
      </c>
      <c r="AM9">
        <f t="shared" si="4"/>
        <v>0.66666666666666663</v>
      </c>
      <c r="AN9">
        <f t="shared" si="5"/>
        <v>0.98611111111111116</v>
      </c>
      <c r="AO9">
        <f>1.1/1000000</f>
        <v>1.1000000000000001E-6</v>
      </c>
      <c r="AP9">
        <f>4.4/1000000</f>
        <v>4.4000000000000002E-6</v>
      </c>
      <c r="AQ9">
        <f t="shared" si="6"/>
        <v>3.6290069444444447E-3</v>
      </c>
    </row>
    <row r="10" spans="1:43" hidden="1" x14ac:dyDescent="0.2">
      <c r="A10" t="s">
        <v>22</v>
      </c>
      <c r="B10" t="s">
        <v>23</v>
      </c>
      <c r="C10" t="s">
        <v>24</v>
      </c>
      <c r="D10" t="s">
        <v>25</v>
      </c>
      <c r="E10" t="s">
        <v>26</v>
      </c>
      <c r="F10" t="s">
        <v>61</v>
      </c>
      <c r="G10" t="s">
        <v>28</v>
      </c>
      <c r="H10">
        <v>3</v>
      </c>
      <c r="I10" s="1" t="s">
        <v>62</v>
      </c>
      <c r="J10" s="1" t="s">
        <v>71</v>
      </c>
      <c r="K10">
        <v>1303</v>
      </c>
      <c r="L10">
        <v>494</v>
      </c>
      <c r="M10">
        <v>208</v>
      </c>
      <c r="N10">
        <v>120</v>
      </c>
      <c r="O10" s="2" t="s">
        <v>72</v>
      </c>
      <c r="P10">
        <v>0</v>
      </c>
      <c r="Q10" t="s">
        <v>73</v>
      </c>
      <c r="R10">
        <v>1</v>
      </c>
      <c r="S10" t="s">
        <v>74</v>
      </c>
      <c r="T10">
        <v>1</v>
      </c>
      <c r="U10" t="s">
        <v>75</v>
      </c>
      <c r="V10" t="s">
        <v>35</v>
      </c>
    </row>
    <row r="11" spans="1:43" hidden="1" x14ac:dyDescent="0.2">
      <c r="A11" t="s">
        <v>76</v>
      </c>
      <c r="B11" t="s">
        <v>23</v>
      </c>
      <c r="C11" t="s">
        <v>24</v>
      </c>
      <c r="D11" t="s">
        <v>25</v>
      </c>
      <c r="E11" t="s">
        <v>26</v>
      </c>
      <c r="F11" t="s">
        <v>77</v>
      </c>
      <c r="G11" t="s">
        <v>28</v>
      </c>
      <c r="H11">
        <v>1</v>
      </c>
      <c r="I11" s="1" t="s">
        <v>62</v>
      </c>
      <c r="J11" s="1" t="s">
        <v>78</v>
      </c>
      <c r="K11">
        <v>1203</v>
      </c>
      <c r="L11">
        <v>494</v>
      </c>
      <c r="M11">
        <v>155</v>
      </c>
      <c r="N11">
        <v>99</v>
      </c>
      <c r="O11" s="2" t="s">
        <v>79</v>
      </c>
      <c r="P11">
        <v>0</v>
      </c>
      <c r="Q11" t="s">
        <v>80</v>
      </c>
      <c r="R11">
        <v>1</v>
      </c>
      <c r="S11" t="s">
        <v>81</v>
      </c>
      <c r="T11">
        <v>1</v>
      </c>
      <c r="U11" t="s">
        <v>82</v>
      </c>
      <c r="V11" t="s">
        <v>35</v>
      </c>
    </row>
    <row r="12" spans="1:43" hidden="1" x14ac:dyDescent="0.2">
      <c r="A12" t="s">
        <v>76</v>
      </c>
      <c r="B12" t="s">
        <v>23</v>
      </c>
      <c r="C12" t="s">
        <v>24</v>
      </c>
      <c r="D12" t="s">
        <v>25</v>
      </c>
      <c r="E12" t="s">
        <v>26</v>
      </c>
      <c r="F12" t="s">
        <v>77</v>
      </c>
      <c r="G12" t="s">
        <v>28</v>
      </c>
      <c r="H12">
        <v>2</v>
      </c>
      <c r="I12" s="1" t="s">
        <v>62</v>
      </c>
      <c r="J12" s="1" t="s">
        <v>83</v>
      </c>
      <c r="K12">
        <v>1203</v>
      </c>
      <c r="L12">
        <v>494</v>
      </c>
      <c r="M12">
        <v>159</v>
      </c>
      <c r="N12">
        <v>103</v>
      </c>
      <c r="O12" s="2" t="s">
        <v>84</v>
      </c>
      <c r="P12">
        <v>1</v>
      </c>
      <c r="Q12" t="s">
        <v>85</v>
      </c>
      <c r="R12">
        <v>1</v>
      </c>
      <c r="S12" t="s">
        <v>86</v>
      </c>
      <c r="T12">
        <v>1</v>
      </c>
      <c r="U12" t="s">
        <v>87</v>
      </c>
      <c r="V12" t="s">
        <v>35</v>
      </c>
    </row>
    <row r="13" spans="1:43" hidden="1" x14ac:dyDescent="0.2">
      <c r="A13" t="s">
        <v>76</v>
      </c>
      <c r="B13" t="s">
        <v>23</v>
      </c>
      <c r="C13" t="s">
        <v>24</v>
      </c>
      <c r="D13" t="s">
        <v>25</v>
      </c>
      <c r="E13" t="s">
        <v>26</v>
      </c>
      <c r="F13" t="s">
        <v>77</v>
      </c>
      <c r="G13" t="s">
        <v>28</v>
      </c>
      <c r="H13">
        <v>3</v>
      </c>
      <c r="I13" s="1" t="s">
        <v>62</v>
      </c>
      <c r="J13" s="1" t="s">
        <v>88</v>
      </c>
      <c r="K13">
        <v>1203</v>
      </c>
      <c r="L13">
        <v>494</v>
      </c>
      <c r="M13">
        <v>156</v>
      </c>
      <c r="N13">
        <v>101</v>
      </c>
      <c r="O13" s="2" t="s">
        <v>89</v>
      </c>
      <c r="P13">
        <v>0</v>
      </c>
      <c r="Q13" t="s">
        <v>90</v>
      </c>
      <c r="R13">
        <v>1</v>
      </c>
      <c r="S13" t="s">
        <v>91</v>
      </c>
      <c r="T13">
        <v>1</v>
      </c>
      <c r="U13" t="s">
        <v>92</v>
      </c>
      <c r="V13" t="s">
        <v>35</v>
      </c>
    </row>
    <row r="14" spans="1:43" hidden="1" x14ac:dyDescent="0.2">
      <c r="A14" t="s">
        <v>93</v>
      </c>
      <c r="B14" t="s">
        <v>23</v>
      </c>
      <c r="C14" t="s">
        <v>24</v>
      </c>
      <c r="D14" t="s">
        <v>25</v>
      </c>
      <c r="E14" t="s">
        <v>26</v>
      </c>
      <c r="F14" t="s">
        <v>94</v>
      </c>
      <c r="G14" t="s">
        <v>28</v>
      </c>
      <c r="H14">
        <v>1</v>
      </c>
      <c r="I14" s="1" t="s">
        <v>29</v>
      </c>
      <c r="J14" s="1" t="s">
        <v>95</v>
      </c>
      <c r="K14">
        <v>1147</v>
      </c>
      <c r="L14">
        <v>458</v>
      </c>
      <c r="M14">
        <v>94</v>
      </c>
      <c r="N14">
        <v>61</v>
      </c>
      <c r="O14" s="2" t="s">
        <v>96</v>
      </c>
      <c r="P14">
        <v>1</v>
      </c>
      <c r="Q14" t="s">
        <v>97</v>
      </c>
      <c r="R14">
        <v>0</v>
      </c>
      <c r="S14" t="s">
        <v>98</v>
      </c>
      <c r="T14">
        <v>1</v>
      </c>
      <c r="U14" t="s">
        <v>99</v>
      </c>
      <c r="V14" t="s">
        <v>35</v>
      </c>
    </row>
    <row r="15" spans="1:43" hidden="1" x14ac:dyDescent="0.2">
      <c r="A15" t="s">
        <v>93</v>
      </c>
      <c r="B15" t="s">
        <v>23</v>
      </c>
      <c r="C15" t="s">
        <v>24</v>
      </c>
      <c r="D15" t="s">
        <v>25</v>
      </c>
      <c r="E15" t="s">
        <v>26</v>
      </c>
      <c r="F15" t="s">
        <v>94</v>
      </c>
      <c r="G15" t="s">
        <v>28</v>
      </c>
      <c r="H15">
        <v>2</v>
      </c>
      <c r="I15" s="1" t="s">
        <v>29</v>
      </c>
      <c r="J15" s="1" t="s">
        <v>100</v>
      </c>
      <c r="K15">
        <v>1147</v>
      </c>
      <c r="L15">
        <v>458</v>
      </c>
      <c r="M15">
        <v>106</v>
      </c>
      <c r="N15">
        <v>73</v>
      </c>
      <c r="O15" s="2" t="s">
        <v>101</v>
      </c>
      <c r="P15">
        <v>1</v>
      </c>
      <c r="Q15" t="s">
        <v>102</v>
      </c>
      <c r="R15">
        <v>0</v>
      </c>
      <c r="S15" t="s">
        <v>103</v>
      </c>
      <c r="T15">
        <v>1</v>
      </c>
      <c r="U15" t="s">
        <v>104</v>
      </c>
      <c r="V15" t="s">
        <v>35</v>
      </c>
    </row>
    <row r="16" spans="1:43" hidden="1" x14ac:dyDescent="0.2">
      <c r="A16" t="s">
        <v>93</v>
      </c>
      <c r="B16" t="s">
        <v>23</v>
      </c>
      <c r="C16" t="s">
        <v>24</v>
      </c>
      <c r="D16" t="s">
        <v>25</v>
      </c>
      <c r="E16" t="s">
        <v>26</v>
      </c>
      <c r="F16" t="s">
        <v>94</v>
      </c>
      <c r="G16" t="s">
        <v>28</v>
      </c>
      <c r="H16">
        <v>3</v>
      </c>
      <c r="I16" s="1" t="s">
        <v>29</v>
      </c>
      <c r="J16" s="1" t="s">
        <v>105</v>
      </c>
      <c r="K16">
        <v>1147</v>
      </c>
      <c r="L16">
        <v>458</v>
      </c>
      <c r="M16">
        <v>112</v>
      </c>
      <c r="N16">
        <v>79</v>
      </c>
      <c r="O16" s="2" t="s">
        <v>106</v>
      </c>
      <c r="P16">
        <v>1</v>
      </c>
      <c r="Q16" t="s">
        <v>107</v>
      </c>
      <c r="R16">
        <v>0</v>
      </c>
      <c r="S16" t="s">
        <v>108</v>
      </c>
      <c r="T16">
        <v>1</v>
      </c>
      <c r="U16" t="s">
        <v>109</v>
      </c>
      <c r="V16" t="s">
        <v>35</v>
      </c>
    </row>
    <row r="17" spans="1:22" hidden="1" x14ac:dyDescent="0.2">
      <c r="A17" t="s">
        <v>93</v>
      </c>
      <c r="B17" t="s">
        <v>23</v>
      </c>
      <c r="C17" t="s">
        <v>24</v>
      </c>
      <c r="D17" t="s">
        <v>25</v>
      </c>
      <c r="E17" t="s">
        <v>26</v>
      </c>
      <c r="F17" t="s">
        <v>110</v>
      </c>
      <c r="G17" t="s">
        <v>28</v>
      </c>
      <c r="H17">
        <v>1</v>
      </c>
      <c r="I17" s="1" t="s">
        <v>47</v>
      </c>
      <c r="J17" s="1" t="s">
        <v>111</v>
      </c>
      <c r="K17">
        <v>1172</v>
      </c>
      <c r="L17">
        <v>472</v>
      </c>
      <c r="M17">
        <v>192</v>
      </c>
      <c r="N17">
        <v>142</v>
      </c>
      <c r="O17" s="2" t="s">
        <v>112</v>
      </c>
      <c r="P17">
        <v>1</v>
      </c>
      <c r="Q17" t="s">
        <v>113</v>
      </c>
      <c r="R17">
        <v>0</v>
      </c>
      <c r="S17" t="s">
        <v>114</v>
      </c>
      <c r="T17">
        <v>1</v>
      </c>
      <c r="U17" t="s">
        <v>115</v>
      </c>
      <c r="V17" t="s">
        <v>35</v>
      </c>
    </row>
    <row r="18" spans="1:22" hidden="1" x14ac:dyDescent="0.2">
      <c r="A18" t="s">
        <v>93</v>
      </c>
      <c r="B18" t="s">
        <v>23</v>
      </c>
      <c r="C18" t="s">
        <v>24</v>
      </c>
      <c r="D18" t="s">
        <v>25</v>
      </c>
      <c r="E18" t="s">
        <v>26</v>
      </c>
      <c r="F18" t="s">
        <v>110</v>
      </c>
      <c r="G18" t="s">
        <v>28</v>
      </c>
      <c r="H18">
        <v>2</v>
      </c>
      <c r="I18" s="1" t="s">
        <v>47</v>
      </c>
      <c r="J18" s="1" t="s">
        <v>116</v>
      </c>
      <c r="K18">
        <v>1172</v>
      </c>
      <c r="L18">
        <v>472</v>
      </c>
      <c r="M18">
        <v>164</v>
      </c>
      <c r="N18">
        <v>113</v>
      </c>
      <c r="O18" s="2" t="s">
        <v>117</v>
      </c>
      <c r="P18">
        <v>1</v>
      </c>
      <c r="Q18" t="s">
        <v>118</v>
      </c>
      <c r="R18">
        <v>1</v>
      </c>
      <c r="S18" t="s">
        <v>119</v>
      </c>
      <c r="T18">
        <v>1</v>
      </c>
      <c r="U18" t="s">
        <v>120</v>
      </c>
      <c r="V18" t="s">
        <v>35</v>
      </c>
    </row>
    <row r="19" spans="1:22" x14ac:dyDescent="0.2">
      <c r="A19" t="s">
        <v>93</v>
      </c>
      <c r="B19" t="s">
        <v>23</v>
      </c>
      <c r="C19" t="s">
        <v>24</v>
      </c>
      <c r="D19" t="s">
        <v>25</v>
      </c>
      <c r="E19" t="s">
        <v>26</v>
      </c>
      <c r="F19" t="s">
        <v>110</v>
      </c>
      <c r="G19" t="s">
        <v>28</v>
      </c>
      <c r="H19">
        <v>3</v>
      </c>
      <c r="I19" s="1" t="s">
        <v>47</v>
      </c>
      <c r="J19" s="1" t="s">
        <v>121</v>
      </c>
      <c r="K19">
        <v>1172</v>
      </c>
      <c r="L19">
        <v>472</v>
      </c>
      <c r="M19">
        <v>192</v>
      </c>
      <c r="N19">
        <v>145</v>
      </c>
      <c r="O19" s="2" t="s">
        <v>122</v>
      </c>
      <c r="P19">
        <v>0</v>
      </c>
      <c r="Q19" t="s">
        <v>123</v>
      </c>
      <c r="R19">
        <v>1</v>
      </c>
      <c r="S19" t="s">
        <v>124</v>
      </c>
      <c r="T19">
        <v>1</v>
      </c>
      <c r="U19" t="s">
        <v>104</v>
      </c>
      <c r="V19" t="s">
        <v>35</v>
      </c>
    </row>
    <row r="20" spans="1:22" hidden="1" x14ac:dyDescent="0.2">
      <c r="A20" t="s">
        <v>93</v>
      </c>
      <c r="B20" t="s">
        <v>23</v>
      </c>
      <c r="C20" t="s">
        <v>24</v>
      </c>
      <c r="D20" t="s">
        <v>25</v>
      </c>
      <c r="E20" t="s">
        <v>26</v>
      </c>
      <c r="F20" t="s">
        <v>125</v>
      </c>
      <c r="G20" t="s">
        <v>28</v>
      </c>
      <c r="H20">
        <v>1</v>
      </c>
      <c r="I20" s="1" t="s">
        <v>62</v>
      </c>
      <c r="J20" s="1" t="s">
        <v>126</v>
      </c>
      <c r="K20">
        <v>1203</v>
      </c>
      <c r="L20">
        <v>494</v>
      </c>
      <c r="M20">
        <v>185</v>
      </c>
      <c r="N20">
        <v>130</v>
      </c>
      <c r="O20" s="2" t="s">
        <v>127</v>
      </c>
      <c r="P20">
        <v>1</v>
      </c>
      <c r="Q20" t="s">
        <v>128</v>
      </c>
      <c r="R20">
        <v>0</v>
      </c>
      <c r="S20" t="s">
        <v>129</v>
      </c>
      <c r="T20">
        <v>1</v>
      </c>
      <c r="U20" t="s">
        <v>130</v>
      </c>
      <c r="V20" t="s">
        <v>35</v>
      </c>
    </row>
    <row r="21" spans="1:22" hidden="1" x14ac:dyDescent="0.2">
      <c r="A21" t="s">
        <v>93</v>
      </c>
      <c r="B21" t="s">
        <v>23</v>
      </c>
      <c r="C21" t="s">
        <v>24</v>
      </c>
      <c r="D21" t="s">
        <v>25</v>
      </c>
      <c r="E21" t="s">
        <v>26</v>
      </c>
      <c r="F21" t="s">
        <v>125</v>
      </c>
      <c r="G21" t="s">
        <v>28</v>
      </c>
      <c r="H21">
        <v>2</v>
      </c>
      <c r="I21" s="1" t="s">
        <v>62</v>
      </c>
      <c r="J21" s="1" t="s">
        <v>131</v>
      </c>
      <c r="K21">
        <v>1203</v>
      </c>
      <c r="L21">
        <v>494</v>
      </c>
      <c r="M21">
        <v>204</v>
      </c>
      <c r="N21">
        <v>145</v>
      </c>
      <c r="O21" s="2" t="s">
        <v>132</v>
      </c>
      <c r="P21">
        <v>1</v>
      </c>
      <c r="Q21" t="s">
        <v>133</v>
      </c>
      <c r="R21">
        <v>0</v>
      </c>
      <c r="S21" t="s">
        <v>134</v>
      </c>
      <c r="T21">
        <v>1</v>
      </c>
      <c r="U21" t="s">
        <v>82</v>
      </c>
      <c r="V21" t="s">
        <v>35</v>
      </c>
    </row>
    <row r="22" spans="1:22" hidden="1" x14ac:dyDescent="0.2">
      <c r="A22" t="s">
        <v>93</v>
      </c>
      <c r="B22" t="s">
        <v>23</v>
      </c>
      <c r="C22" t="s">
        <v>24</v>
      </c>
      <c r="D22" t="s">
        <v>25</v>
      </c>
      <c r="E22" t="s">
        <v>26</v>
      </c>
      <c r="F22" t="s">
        <v>125</v>
      </c>
      <c r="G22" t="s">
        <v>28</v>
      </c>
      <c r="H22">
        <v>3</v>
      </c>
      <c r="I22" s="1" t="s">
        <v>62</v>
      </c>
      <c r="J22" s="1" t="s">
        <v>135</v>
      </c>
      <c r="K22">
        <v>1203</v>
      </c>
      <c r="L22">
        <v>494</v>
      </c>
      <c r="M22">
        <v>156</v>
      </c>
      <c r="N22">
        <v>100</v>
      </c>
      <c r="O22" s="2" t="s">
        <v>136</v>
      </c>
      <c r="P22">
        <v>1</v>
      </c>
      <c r="Q22" t="s">
        <v>137</v>
      </c>
      <c r="R22">
        <v>1</v>
      </c>
      <c r="S22" t="s">
        <v>138</v>
      </c>
      <c r="T22">
        <v>1</v>
      </c>
      <c r="U22" t="s">
        <v>139</v>
      </c>
      <c r="V22" t="s">
        <v>35</v>
      </c>
    </row>
    <row r="23" spans="1:22" hidden="1" x14ac:dyDescent="0.2">
      <c r="A23" t="s">
        <v>140</v>
      </c>
      <c r="B23" t="s">
        <v>23</v>
      </c>
      <c r="C23" t="s">
        <v>24</v>
      </c>
      <c r="D23" t="s">
        <v>25</v>
      </c>
      <c r="E23" t="s">
        <v>26</v>
      </c>
      <c r="F23" t="s">
        <v>141</v>
      </c>
      <c r="G23" t="s">
        <v>28</v>
      </c>
      <c r="H23">
        <v>1</v>
      </c>
      <c r="I23" s="1" t="s">
        <v>142</v>
      </c>
      <c r="J23" t="s">
        <v>143</v>
      </c>
      <c r="K23">
        <v>1111</v>
      </c>
      <c r="L23">
        <v>443</v>
      </c>
      <c r="M23">
        <v>434</v>
      </c>
      <c r="N23">
        <v>31</v>
      </c>
      <c r="O23" s="2" t="s">
        <v>144</v>
      </c>
      <c r="P23">
        <v>1</v>
      </c>
      <c r="Q23" t="s">
        <v>145</v>
      </c>
      <c r="R23">
        <v>0</v>
      </c>
      <c r="S23" t="s">
        <v>146</v>
      </c>
      <c r="T23">
        <v>1</v>
      </c>
      <c r="U23" t="s">
        <v>147</v>
      </c>
      <c r="V23" t="s">
        <v>35</v>
      </c>
    </row>
    <row r="24" spans="1:22" hidden="1" x14ac:dyDescent="0.2">
      <c r="A24" t="s">
        <v>140</v>
      </c>
      <c r="B24" t="s">
        <v>23</v>
      </c>
      <c r="C24" t="s">
        <v>24</v>
      </c>
      <c r="D24" t="s">
        <v>25</v>
      </c>
      <c r="E24" t="s">
        <v>26</v>
      </c>
      <c r="F24" t="s">
        <v>141</v>
      </c>
      <c r="G24" t="s">
        <v>28</v>
      </c>
      <c r="H24">
        <v>2</v>
      </c>
      <c r="I24" s="1" t="s">
        <v>142</v>
      </c>
      <c r="J24" t="s">
        <v>148</v>
      </c>
      <c r="K24">
        <v>1111</v>
      </c>
      <c r="L24">
        <v>443</v>
      </c>
      <c r="M24">
        <v>370</v>
      </c>
      <c r="N24">
        <v>31</v>
      </c>
      <c r="O24" s="2" t="s">
        <v>149</v>
      </c>
      <c r="P24">
        <v>1</v>
      </c>
      <c r="Q24" t="s">
        <v>150</v>
      </c>
      <c r="R24">
        <v>0</v>
      </c>
      <c r="S24" t="s">
        <v>151</v>
      </c>
      <c r="T24">
        <v>1</v>
      </c>
      <c r="U24" t="s">
        <v>152</v>
      </c>
      <c r="V24" t="s">
        <v>35</v>
      </c>
    </row>
    <row r="25" spans="1:22" hidden="1" x14ac:dyDescent="0.2">
      <c r="A25" t="s">
        <v>140</v>
      </c>
      <c r="B25" t="s">
        <v>23</v>
      </c>
      <c r="C25" t="s">
        <v>24</v>
      </c>
      <c r="D25" t="s">
        <v>25</v>
      </c>
      <c r="E25" t="s">
        <v>26</v>
      </c>
      <c r="F25" t="s">
        <v>141</v>
      </c>
      <c r="G25" t="s">
        <v>28</v>
      </c>
      <c r="H25">
        <v>3</v>
      </c>
      <c r="I25" s="1" t="s">
        <v>142</v>
      </c>
      <c r="J25" t="s">
        <v>153</v>
      </c>
      <c r="K25">
        <v>1111</v>
      </c>
      <c r="L25">
        <v>443</v>
      </c>
      <c r="M25">
        <v>558</v>
      </c>
      <c r="N25">
        <v>27</v>
      </c>
      <c r="O25" s="2" t="s">
        <v>154</v>
      </c>
      <c r="P25">
        <v>1</v>
      </c>
      <c r="Q25" t="s">
        <v>155</v>
      </c>
      <c r="R25">
        <v>0</v>
      </c>
      <c r="S25" t="s">
        <v>156</v>
      </c>
      <c r="T25">
        <v>1</v>
      </c>
      <c r="U25" t="s">
        <v>109</v>
      </c>
      <c r="V25" t="s">
        <v>35</v>
      </c>
    </row>
    <row r="26" spans="1:22" hidden="1" x14ac:dyDescent="0.2">
      <c r="A26" t="s">
        <v>22</v>
      </c>
      <c r="B26" t="s">
        <v>23</v>
      </c>
      <c r="C26" t="s">
        <v>24</v>
      </c>
      <c r="D26" t="s">
        <v>157</v>
      </c>
      <c r="E26" t="s">
        <v>26</v>
      </c>
      <c r="F26" t="s">
        <v>27</v>
      </c>
      <c r="G26" t="s">
        <v>28</v>
      </c>
      <c r="H26">
        <v>1</v>
      </c>
      <c r="I26" s="1" t="s">
        <v>158</v>
      </c>
      <c r="J26" s="1" t="s">
        <v>159</v>
      </c>
      <c r="K26">
        <v>1448</v>
      </c>
      <c r="L26">
        <v>513</v>
      </c>
      <c r="M26">
        <v>145</v>
      </c>
      <c r="N26">
        <v>82</v>
      </c>
      <c r="O26" s="2" t="s">
        <v>160</v>
      </c>
      <c r="P26">
        <v>1</v>
      </c>
      <c r="Q26" t="s">
        <v>161</v>
      </c>
      <c r="R26">
        <v>1</v>
      </c>
      <c r="S26" t="s">
        <v>162</v>
      </c>
      <c r="T26">
        <v>1</v>
      </c>
      <c r="U26" t="s">
        <v>163</v>
      </c>
      <c r="V26" t="s">
        <v>164</v>
      </c>
    </row>
    <row r="27" spans="1:22" hidden="1" x14ac:dyDescent="0.2">
      <c r="A27" t="s">
        <v>22</v>
      </c>
      <c r="B27" t="s">
        <v>23</v>
      </c>
      <c r="C27" t="s">
        <v>24</v>
      </c>
      <c r="D27" t="s">
        <v>157</v>
      </c>
      <c r="E27" t="s">
        <v>26</v>
      </c>
      <c r="F27" t="s">
        <v>27</v>
      </c>
      <c r="G27" t="s">
        <v>28</v>
      </c>
      <c r="H27">
        <v>2</v>
      </c>
      <c r="I27" s="1" t="s">
        <v>158</v>
      </c>
      <c r="J27" s="1" t="s">
        <v>165</v>
      </c>
      <c r="K27">
        <v>1448</v>
      </c>
      <c r="L27">
        <v>513</v>
      </c>
      <c r="M27">
        <v>140</v>
      </c>
      <c r="N27">
        <v>84</v>
      </c>
      <c r="O27">
        <v>4.0331499576568604</v>
      </c>
      <c r="P27">
        <v>1</v>
      </c>
      <c r="Q27" t="s">
        <v>166</v>
      </c>
      <c r="R27">
        <v>1</v>
      </c>
      <c r="S27" t="s">
        <v>167</v>
      </c>
      <c r="T27">
        <v>1</v>
      </c>
      <c r="U27" t="s">
        <v>168</v>
      </c>
      <c r="V27" t="s">
        <v>164</v>
      </c>
    </row>
    <row r="28" spans="1:22" hidden="1" x14ac:dyDescent="0.2">
      <c r="A28" t="s">
        <v>22</v>
      </c>
      <c r="B28" t="s">
        <v>23</v>
      </c>
      <c r="C28" t="s">
        <v>24</v>
      </c>
      <c r="D28" t="s">
        <v>157</v>
      </c>
      <c r="E28" t="s">
        <v>26</v>
      </c>
      <c r="F28" t="s">
        <v>27</v>
      </c>
      <c r="G28" t="s">
        <v>28</v>
      </c>
      <c r="H28">
        <v>3</v>
      </c>
      <c r="I28" s="1" t="s">
        <v>158</v>
      </c>
      <c r="J28" s="1" t="s">
        <v>169</v>
      </c>
      <c r="K28">
        <v>1448</v>
      </c>
      <c r="L28">
        <v>513</v>
      </c>
      <c r="M28">
        <v>133</v>
      </c>
      <c r="N28">
        <v>79</v>
      </c>
      <c r="O28" s="2" t="s">
        <v>170</v>
      </c>
      <c r="P28">
        <v>1</v>
      </c>
      <c r="Q28" t="s">
        <v>171</v>
      </c>
      <c r="R28">
        <v>1</v>
      </c>
      <c r="S28" t="s">
        <v>172</v>
      </c>
      <c r="T28">
        <v>1</v>
      </c>
      <c r="U28" t="s">
        <v>173</v>
      </c>
      <c r="V28" t="s">
        <v>164</v>
      </c>
    </row>
    <row r="29" spans="1:22" hidden="1" x14ac:dyDescent="0.2">
      <c r="A29" t="s">
        <v>22</v>
      </c>
      <c r="B29" t="s">
        <v>23</v>
      </c>
      <c r="C29" t="s">
        <v>24</v>
      </c>
      <c r="D29" t="s">
        <v>157</v>
      </c>
      <c r="E29" t="s">
        <v>26</v>
      </c>
      <c r="F29" t="s">
        <v>46</v>
      </c>
      <c r="G29" t="s">
        <v>28</v>
      </c>
      <c r="H29">
        <v>1</v>
      </c>
      <c r="I29" s="1" t="s">
        <v>174</v>
      </c>
      <c r="J29" s="1" t="s">
        <v>175</v>
      </c>
      <c r="K29">
        <v>1476</v>
      </c>
      <c r="L29">
        <v>527</v>
      </c>
      <c r="M29">
        <v>230</v>
      </c>
      <c r="N29">
        <v>149</v>
      </c>
      <c r="O29" s="2" t="s">
        <v>176</v>
      </c>
      <c r="P29">
        <v>1</v>
      </c>
      <c r="Q29" t="s">
        <v>177</v>
      </c>
      <c r="R29">
        <v>1</v>
      </c>
      <c r="S29" t="s">
        <v>178</v>
      </c>
      <c r="T29">
        <v>1</v>
      </c>
      <c r="U29" t="s">
        <v>179</v>
      </c>
      <c r="V29" t="s">
        <v>164</v>
      </c>
    </row>
    <row r="30" spans="1:22" hidden="1" x14ac:dyDescent="0.2">
      <c r="A30" t="s">
        <v>22</v>
      </c>
      <c r="B30" t="s">
        <v>23</v>
      </c>
      <c r="C30" t="s">
        <v>24</v>
      </c>
      <c r="D30" t="s">
        <v>157</v>
      </c>
      <c r="E30" t="s">
        <v>26</v>
      </c>
      <c r="F30" t="s">
        <v>46</v>
      </c>
      <c r="G30" t="s">
        <v>28</v>
      </c>
      <c r="H30">
        <v>2</v>
      </c>
      <c r="I30" s="1" t="s">
        <v>174</v>
      </c>
      <c r="J30" s="1" t="s">
        <v>180</v>
      </c>
      <c r="K30">
        <v>1476</v>
      </c>
      <c r="L30">
        <v>527</v>
      </c>
      <c r="M30">
        <v>215</v>
      </c>
      <c r="N30">
        <v>136</v>
      </c>
      <c r="O30" s="2" t="s">
        <v>181</v>
      </c>
      <c r="P30">
        <v>1</v>
      </c>
      <c r="Q30" t="s">
        <v>182</v>
      </c>
      <c r="R30">
        <v>1</v>
      </c>
      <c r="S30" t="s">
        <v>183</v>
      </c>
      <c r="T30">
        <v>1</v>
      </c>
      <c r="U30" t="s">
        <v>82</v>
      </c>
      <c r="V30" t="s">
        <v>164</v>
      </c>
    </row>
    <row r="31" spans="1:22" hidden="1" x14ac:dyDescent="0.2">
      <c r="A31" t="s">
        <v>22</v>
      </c>
      <c r="B31" t="s">
        <v>23</v>
      </c>
      <c r="C31" t="s">
        <v>24</v>
      </c>
      <c r="D31" t="s">
        <v>157</v>
      </c>
      <c r="E31" t="s">
        <v>26</v>
      </c>
      <c r="F31" t="s">
        <v>46</v>
      </c>
      <c r="G31" t="s">
        <v>28</v>
      </c>
      <c r="H31">
        <v>3</v>
      </c>
      <c r="I31" s="1" t="s">
        <v>174</v>
      </c>
      <c r="J31" s="1" t="s">
        <v>184</v>
      </c>
      <c r="K31">
        <v>1476</v>
      </c>
      <c r="L31">
        <v>527</v>
      </c>
      <c r="M31">
        <v>229</v>
      </c>
      <c r="N31">
        <v>144</v>
      </c>
      <c r="O31" s="2" t="s">
        <v>185</v>
      </c>
      <c r="P31">
        <v>1</v>
      </c>
      <c r="Q31" t="s">
        <v>186</v>
      </c>
      <c r="R31">
        <v>1</v>
      </c>
      <c r="S31" t="s">
        <v>187</v>
      </c>
      <c r="T31">
        <v>1</v>
      </c>
      <c r="U31" t="s">
        <v>87</v>
      </c>
      <c r="V31" t="s">
        <v>164</v>
      </c>
    </row>
    <row r="32" spans="1:22" hidden="1" x14ac:dyDescent="0.2">
      <c r="A32" t="s">
        <v>22</v>
      </c>
      <c r="B32" t="s">
        <v>23</v>
      </c>
      <c r="C32" t="s">
        <v>24</v>
      </c>
      <c r="D32" t="s">
        <v>157</v>
      </c>
      <c r="E32" t="s">
        <v>26</v>
      </c>
      <c r="F32" t="s">
        <v>61</v>
      </c>
      <c r="G32" t="s">
        <v>28</v>
      </c>
      <c r="H32">
        <v>1</v>
      </c>
      <c r="I32" s="1" t="s">
        <v>188</v>
      </c>
      <c r="J32" s="1" t="s">
        <v>189</v>
      </c>
      <c r="K32">
        <v>1511</v>
      </c>
      <c r="L32">
        <v>549</v>
      </c>
      <c r="M32">
        <v>224</v>
      </c>
      <c r="N32">
        <v>135</v>
      </c>
      <c r="O32" s="2" t="s">
        <v>190</v>
      </c>
      <c r="P32">
        <v>1</v>
      </c>
      <c r="Q32" t="s">
        <v>191</v>
      </c>
      <c r="R32">
        <v>1</v>
      </c>
      <c r="S32" t="s">
        <v>192</v>
      </c>
      <c r="T32">
        <v>1</v>
      </c>
      <c r="U32" t="s">
        <v>193</v>
      </c>
      <c r="V32" t="s">
        <v>164</v>
      </c>
    </row>
    <row r="33" spans="1:22" hidden="1" x14ac:dyDescent="0.2">
      <c r="A33" t="s">
        <v>22</v>
      </c>
      <c r="B33" t="s">
        <v>23</v>
      </c>
      <c r="C33" t="s">
        <v>24</v>
      </c>
      <c r="D33" t="s">
        <v>157</v>
      </c>
      <c r="E33" t="s">
        <v>26</v>
      </c>
      <c r="F33" t="s">
        <v>61</v>
      </c>
      <c r="G33" t="s">
        <v>28</v>
      </c>
      <c r="H33">
        <v>2</v>
      </c>
      <c r="I33" s="1" t="s">
        <v>188</v>
      </c>
      <c r="J33" s="1" t="s">
        <v>194</v>
      </c>
      <c r="K33">
        <v>1511</v>
      </c>
      <c r="L33">
        <v>549</v>
      </c>
      <c r="M33">
        <v>219</v>
      </c>
      <c r="N33">
        <v>129</v>
      </c>
      <c r="O33" s="2" t="s">
        <v>195</v>
      </c>
      <c r="P33">
        <v>1</v>
      </c>
      <c r="Q33" t="s">
        <v>196</v>
      </c>
      <c r="R33">
        <v>1</v>
      </c>
      <c r="S33" t="s">
        <v>197</v>
      </c>
      <c r="T33">
        <v>1</v>
      </c>
      <c r="U33" t="s">
        <v>198</v>
      </c>
      <c r="V33" t="s">
        <v>164</v>
      </c>
    </row>
    <row r="34" spans="1:22" hidden="1" x14ac:dyDescent="0.2">
      <c r="A34" t="s">
        <v>22</v>
      </c>
      <c r="B34" t="s">
        <v>23</v>
      </c>
      <c r="C34" t="s">
        <v>24</v>
      </c>
      <c r="D34" t="s">
        <v>157</v>
      </c>
      <c r="E34" t="s">
        <v>26</v>
      </c>
      <c r="F34" t="s">
        <v>61</v>
      </c>
      <c r="G34" t="s">
        <v>28</v>
      </c>
      <c r="H34">
        <v>3</v>
      </c>
      <c r="I34" s="1" t="s">
        <v>188</v>
      </c>
      <c r="J34" s="1" t="s">
        <v>199</v>
      </c>
      <c r="K34">
        <v>1511</v>
      </c>
      <c r="L34">
        <v>549</v>
      </c>
      <c r="M34">
        <v>227</v>
      </c>
      <c r="N34">
        <v>140</v>
      </c>
      <c r="O34" s="2" t="s">
        <v>200</v>
      </c>
      <c r="P34">
        <v>0</v>
      </c>
      <c r="Q34" t="s">
        <v>201</v>
      </c>
      <c r="R34">
        <v>1</v>
      </c>
      <c r="S34" t="s">
        <v>202</v>
      </c>
      <c r="T34">
        <v>1</v>
      </c>
      <c r="U34" t="s">
        <v>203</v>
      </c>
      <c r="V34" t="s">
        <v>164</v>
      </c>
    </row>
    <row r="35" spans="1:22" hidden="1" x14ac:dyDescent="0.2">
      <c r="A35" t="s">
        <v>76</v>
      </c>
      <c r="B35" t="s">
        <v>23</v>
      </c>
      <c r="C35" t="s">
        <v>24</v>
      </c>
      <c r="D35" t="s">
        <v>157</v>
      </c>
      <c r="E35" t="s">
        <v>26</v>
      </c>
      <c r="F35" t="s">
        <v>77</v>
      </c>
      <c r="G35" t="s">
        <v>28</v>
      </c>
      <c r="H35">
        <v>1</v>
      </c>
      <c r="I35" s="1" t="s">
        <v>188</v>
      </c>
      <c r="J35" s="1" t="s">
        <v>204</v>
      </c>
      <c r="K35">
        <v>1373</v>
      </c>
      <c r="L35">
        <v>549</v>
      </c>
      <c r="M35">
        <v>164</v>
      </c>
      <c r="N35">
        <v>107</v>
      </c>
      <c r="O35" s="2" t="s">
        <v>205</v>
      </c>
      <c r="P35">
        <v>1</v>
      </c>
      <c r="Q35" t="s">
        <v>206</v>
      </c>
      <c r="R35">
        <v>0</v>
      </c>
      <c r="S35" t="s">
        <v>207</v>
      </c>
      <c r="T35">
        <v>1</v>
      </c>
      <c r="U35" t="s">
        <v>208</v>
      </c>
      <c r="V35" t="s">
        <v>164</v>
      </c>
    </row>
    <row r="36" spans="1:22" hidden="1" x14ac:dyDescent="0.2">
      <c r="A36" t="s">
        <v>76</v>
      </c>
      <c r="B36" t="s">
        <v>23</v>
      </c>
      <c r="C36" t="s">
        <v>24</v>
      </c>
      <c r="D36" t="s">
        <v>157</v>
      </c>
      <c r="E36" t="s">
        <v>26</v>
      </c>
      <c r="F36" t="s">
        <v>77</v>
      </c>
      <c r="G36" t="s">
        <v>28</v>
      </c>
      <c r="H36">
        <v>2</v>
      </c>
      <c r="I36" s="1" t="s">
        <v>188</v>
      </c>
      <c r="J36" s="1" t="s">
        <v>209</v>
      </c>
      <c r="K36">
        <v>1373</v>
      </c>
      <c r="L36">
        <v>549</v>
      </c>
      <c r="M36">
        <v>164</v>
      </c>
      <c r="N36">
        <v>105</v>
      </c>
      <c r="O36" s="2" t="s">
        <v>210</v>
      </c>
      <c r="P36">
        <v>0</v>
      </c>
      <c r="Q36" t="s">
        <v>211</v>
      </c>
      <c r="R36">
        <v>1</v>
      </c>
      <c r="S36" t="s">
        <v>212</v>
      </c>
      <c r="T36">
        <v>1</v>
      </c>
      <c r="U36" t="s">
        <v>213</v>
      </c>
      <c r="V36" t="s">
        <v>164</v>
      </c>
    </row>
    <row r="37" spans="1:22" hidden="1" x14ac:dyDescent="0.2">
      <c r="A37" t="s">
        <v>76</v>
      </c>
      <c r="B37" t="s">
        <v>23</v>
      </c>
      <c r="C37" t="s">
        <v>24</v>
      </c>
      <c r="D37" t="s">
        <v>157</v>
      </c>
      <c r="E37" t="s">
        <v>26</v>
      </c>
      <c r="F37" t="s">
        <v>77</v>
      </c>
      <c r="G37" t="s">
        <v>28</v>
      </c>
      <c r="H37">
        <v>3</v>
      </c>
      <c r="I37" s="1" t="s">
        <v>188</v>
      </c>
      <c r="J37" s="1" t="s">
        <v>214</v>
      </c>
      <c r="K37">
        <v>1373</v>
      </c>
      <c r="L37">
        <v>549</v>
      </c>
      <c r="M37">
        <v>165</v>
      </c>
      <c r="N37">
        <v>109</v>
      </c>
      <c r="O37" s="2" t="s">
        <v>215</v>
      </c>
      <c r="P37">
        <v>0</v>
      </c>
      <c r="Q37" t="s">
        <v>216</v>
      </c>
      <c r="R37">
        <v>1</v>
      </c>
      <c r="S37" t="s">
        <v>217</v>
      </c>
      <c r="T37">
        <v>1</v>
      </c>
      <c r="U37" t="s">
        <v>218</v>
      </c>
      <c r="V37" t="s">
        <v>164</v>
      </c>
    </row>
    <row r="38" spans="1:22" hidden="1" x14ac:dyDescent="0.2">
      <c r="A38" t="s">
        <v>93</v>
      </c>
      <c r="B38" t="s">
        <v>23</v>
      </c>
      <c r="C38" t="s">
        <v>24</v>
      </c>
      <c r="D38" t="s">
        <v>157</v>
      </c>
      <c r="E38" t="s">
        <v>26</v>
      </c>
      <c r="F38" t="s">
        <v>94</v>
      </c>
      <c r="G38" t="s">
        <v>28</v>
      </c>
      <c r="H38">
        <v>1</v>
      </c>
      <c r="I38" s="1" t="s">
        <v>158</v>
      </c>
      <c r="J38" s="1" t="s">
        <v>219</v>
      </c>
      <c r="K38">
        <v>1317</v>
      </c>
      <c r="L38">
        <v>513</v>
      </c>
      <c r="M38">
        <v>103</v>
      </c>
      <c r="N38">
        <v>68</v>
      </c>
      <c r="O38">
        <v>3.6936619281768799</v>
      </c>
      <c r="P38">
        <v>1</v>
      </c>
      <c r="Q38" t="s">
        <v>220</v>
      </c>
      <c r="R38">
        <v>0</v>
      </c>
      <c r="S38" t="s">
        <v>221</v>
      </c>
      <c r="T38">
        <v>1</v>
      </c>
      <c r="U38" t="s">
        <v>222</v>
      </c>
      <c r="V38" t="s">
        <v>164</v>
      </c>
    </row>
    <row r="39" spans="1:22" hidden="1" x14ac:dyDescent="0.2">
      <c r="A39" t="s">
        <v>93</v>
      </c>
      <c r="B39" t="s">
        <v>23</v>
      </c>
      <c r="C39" t="s">
        <v>24</v>
      </c>
      <c r="D39" t="s">
        <v>157</v>
      </c>
      <c r="E39" t="s">
        <v>26</v>
      </c>
      <c r="F39" t="s">
        <v>94</v>
      </c>
      <c r="G39" t="s">
        <v>28</v>
      </c>
      <c r="H39">
        <v>2</v>
      </c>
      <c r="I39" s="1" t="s">
        <v>158</v>
      </c>
      <c r="J39" s="1" t="s">
        <v>223</v>
      </c>
      <c r="K39">
        <v>1317</v>
      </c>
      <c r="L39">
        <v>513</v>
      </c>
      <c r="M39">
        <v>91</v>
      </c>
      <c r="N39">
        <v>57</v>
      </c>
      <c r="O39" s="2" t="s">
        <v>224</v>
      </c>
      <c r="P39">
        <v>0</v>
      </c>
      <c r="Q39" t="s">
        <v>225</v>
      </c>
      <c r="R39">
        <v>1</v>
      </c>
      <c r="S39" t="s">
        <v>226</v>
      </c>
      <c r="T39">
        <v>1</v>
      </c>
      <c r="U39" t="s">
        <v>227</v>
      </c>
      <c r="V39" t="s">
        <v>164</v>
      </c>
    </row>
    <row r="40" spans="1:22" hidden="1" x14ac:dyDescent="0.2">
      <c r="A40" t="s">
        <v>93</v>
      </c>
      <c r="B40" t="s">
        <v>23</v>
      </c>
      <c r="C40" t="s">
        <v>24</v>
      </c>
      <c r="D40" t="s">
        <v>157</v>
      </c>
      <c r="E40" t="s">
        <v>26</v>
      </c>
      <c r="F40" t="s">
        <v>94</v>
      </c>
      <c r="G40" t="s">
        <v>28</v>
      </c>
      <c r="H40">
        <v>3</v>
      </c>
      <c r="I40" s="1" t="s">
        <v>158</v>
      </c>
      <c r="J40" s="1" t="s">
        <v>228</v>
      </c>
      <c r="K40">
        <v>1317</v>
      </c>
      <c r="L40">
        <v>513</v>
      </c>
      <c r="M40">
        <v>123</v>
      </c>
      <c r="N40">
        <v>88</v>
      </c>
      <c r="O40" s="2" t="s">
        <v>229</v>
      </c>
      <c r="P40">
        <v>1</v>
      </c>
      <c r="Q40" t="s">
        <v>230</v>
      </c>
      <c r="R40">
        <v>0</v>
      </c>
      <c r="S40" t="s">
        <v>231</v>
      </c>
      <c r="T40">
        <v>1</v>
      </c>
      <c r="U40" t="s">
        <v>232</v>
      </c>
      <c r="V40" t="s">
        <v>164</v>
      </c>
    </row>
    <row r="41" spans="1:22" hidden="1" x14ac:dyDescent="0.2">
      <c r="A41" t="s">
        <v>93</v>
      </c>
      <c r="B41" t="s">
        <v>23</v>
      </c>
      <c r="C41" t="s">
        <v>24</v>
      </c>
      <c r="D41" t="s">
        <v>157</v>
      </c>
      <c r="E41" t="s">
        <v>26</v>
      </c>
      <c r="F41" t="s">
        <v>110</v>
      </c>
      <c r="G41" t="s">
        <v>28</v>
      </c>
      <c r="H41">
        <v>1</v>
      </c>
      <c r="I41" s="1" t="s">
        <v>174</v>
      </c>
      <c r="J41" s="1" t="s">
        <v>233</v>
      </c>
      <c r="K41">
        <v>1342</v>
      </c>
      <c r="L41">
        <v>527</v>
      </c>
      <c r="M41">
        <v>200</v>
      </c>
      <c r="N41">
        <v>150</v>
      </c>
      <c r="O41" s="2" t="s">
        <v>234</v>
      </c>
      <c r="P41">
        <v>1</v>
      </c>
      <c r="Q41" t="s">
        <v>235</v>
      </c>
      <c r="R41">
        <v>0</v>
      </c>
      <c r="S41" t="s">
        <v>236</v>
      </c>
      <c r="T41">
        <v>1</v>
      </c>
      <c r="U41" t="s">
        <v>237</v>
      </c>
      <c r="V41" t="s">
        <v>164</v>
      </c>
    </row>
    <row r="42" spans="1:22" hidden="1" x14ac:dyDescent="0.2">
      <c r="A42" t="s">
        <v>93</v>
      </c>
      <c r="B42" t="s">
        <v>23</v>
      </c>
      <c r="C42" t="s">
        <v>24</v>
      </c>
      <c r="D42" t="s">
        <v>157</v>
      </c>
      <c r="E42" t="s">
        <v>26</v>
      </c>
      <c r="F42" t="s">
        <v>110</v>
      </c>
      <c r="G42" t="s">
        <v>28</v>
      </c>
      <c r="H42">
        <v>2</v>
      </c>
      <c r="I42" s="1" t="s">
        <v>174</v>
      </c>
      <c r="J42" s="1" t="s">
        <v>238</v>
      </c>
      <c r="K42">
        <v>1342</v>
      </c>
      <c r="L42">
        <v>527</v>
      </c>
      <c r="M42">
        <v>233</v>
      </c>
      <c r="N42">
        <v>172</v>
      </c>
      <c r="O42" s="2" t="s">
        <v>239</v>
      </c>
      <c r="P42">
        <v>1</v>
      </c>
      <c r="Q42" t="s">
        <v>240</v>
      </c>
      <c r="R42">
        <v>0</v>
      </c>
      <c r="S42" t="s">
        <v>241</v>
      </c>
      <c r="T42">
        <v>1</v>
      </c>
      <c r="U42" t="s">
        <v>242</v>
      </c>
      <c r="V42" t="s">
        <v>164</v>
      </c>
    </row>
    <row r="43" spans="1:22" x14ac:dyDescent="0.2">
      <c r="A43" t="s">
        <v>93</v>
      </c>
      <c r="B43" t="s">
        <v>23</v>
      </c>
      <c r="C43" t="s">
        <v>24</v>
      </c>
      <c r="D43" t="s">
        <v>157</v>
      </c>
      <c r="E43" t="s">
        <v>26</v>
      </c>
      <c r="F43" t="s">
        <v>110</v>
      </c>
      <c r="G43" t="s">
        <v>28</v>
      </c>
      <c r="H43">
        <v>3</v>
      </c>
      <c r="I43" s="1" t="s">
        <v>174</v>
      </c>
      <c r="J43" s="1" t="s">
        <v>243</v>
      </c>
      <c r="K43">
        <v>1342</v>
      </c>
      <c r="L43">
        <v>527</v>
      </c>
      <c r="M43">
        <v>160</v>
      </c>
      <c r="N43">
        <v>109</v>
      </c>
      <c r="O43" s="2" t="s">
        <v>244</v>
      </c>
      <c r="P43">
        <v>0</v>
      </c>
      <c r="Q43" t="s">
        <v>245</v>
      </c>
      <c r="R43">
        <v>1</v>
      </c>
      <c r="S43" t="s">
        <v>246</v>
      </c>
      <c r="T43">
        <v>1</v>
      </c>
      <c r="U43" t="s">
        <v>247</v>
      </c>
      <c r="V43" t="s">
        <v>164</v>
      </c>
    </row>
    <row r="44" spans="1:22" hidden="1" x14ac:dyDescent="0.2">
      <c r="A44" t="s">
        <v>93</v>
      </c>
      <c r="B44" t="s">
        <v>23</v>
      </c>
      <c r="C44" t="s">
        <v>24</v>
      </c>
      <c r="D44" t="s">
        <v>157</v>
      </c>
      <c r="E44" t="s">
        <v>26</v>
      </c>
      <c r="F44" t="s">
        <v>125</v>
      </c>
      <c r="G44" t="s">
        <v>28</v>
      </c>
      <c r="H44">
        <v>1</v>
      </c>
      <c r="I44" s="1" t="s">
        <v>188</v>
      </c>
      <c r="J44" s="1" t="s">
        <v>248</v>
      </c>
      <c r="K44">
        <v>1373</v>
      </c>
      <c r="L44">
        <v>549</v>
      </c>
      <c r="M44">
        <v>182</v>
      </c>
      <c r="N44">
        <v>120</v>
      </c>
      <c r="O44" s="2" t="s">
        <v>249</v>
      </c>
      <c r="P44">
        <v>1</v>
      </c>
      <c r="Q44" t="s">
        <v>250</v>
      </c>
      <c r="R44">
        <v>0</v>
      </c>
      <c r="S44" t="s">
        <v>251</v>
      </c>
      <c r="T44">
        <v>1</v>
      </c>
      <c r="U44" t="s">
        <v>252</v>
      </c>
      <c r="V44" t="s">
        <v>164</v>
      </c>
    </row>
    <row r="45" spans="1:22" hidden="1" x14ac:dyDescent="0.2">
      <c r="A45" t="s">
        <v>93</v>
      </c>
      <c r="B45" t="s">
        <v>23</v>
      </c>
      <c r="C45" t="s">
        <v>24</v>
      </c>
      <c r="D45" t="s">
        <v>157</v>
      </c>
      <c r="E45" t="s">
        <v>26</v>
      </c>
      <c r="F45" t="s">
        <v>125</v>
      </c>
      <c r="G45" t="s">
        <v>28</v>
      </c>
      <c r="H45">
        <v>2</v>
      </c>
      <c r="I45" s="1" t="s">
        <v>188</v>
      </c>
      <c r="J45" s="1" t="s">
        <v>253</v>
      </c>
      <c r="K45">
        <v>1373</v>
      </c>
      <c r="L45">
        <v>549</v>
      </c>
      <c r="M45">
        <v>177</v>
      </c>
      <c r="N45">
        <v>113</v>
      </c>
      <c r="O45" s="2" t="s">
        <v>254</v>
      </c>
      <c r="P45">
        <v>1</v>
      </c>
      <c r="Q45" t="s">
        <v>255</v>
      </c>
      <c r="R45">
        <v>0</v>
      </c>
      <c r="S45" t="s">
        <v>256</v>
      </c>
      <c r="T45">
        <v>1</v>
      </c>
      <c r="U45" t="s">
        <v>257</v>
      </c>
      <c r="V45" t="s">
        <v>164</v>
      </c>
    </row>
    <row r="46" spans="1:22" hidden="1" x14ac:dyDescent="0.2">
      <c r="A46" t="s">
        <v>93</v>
      </c>
      <c r="B46" t="s">
        <v>23</v>
      </c>
      <c r="C46" t="s">
        <v>24</v>
      </c>
      <c r="D46" t="s">
        <v>157</v>
      </c>
      <c r="E46" t="s">
        <v>26</v>
      </c>
      <c r="F46" t="s">
        <v>125</v>
      </c>
      <c r="G46" t="s">
        <v>28</v>
      </c>
      <c r="H46">
        <v>3</v>
      </c>
      <c r="I46" s="1" t="s">
        <v>188</v>
      </c>
      <c r="J46" s="1" t="s">
        <v>258</v>
      </c>
      <c r="K46">
        <v>1373</v>
      </c>
      <c r="L46">
        <v>549</v>
      </c>
      <c r="M46">
        <v>204</v>
      </c>
      <c r="N46">
        <v>143</v>
      </c>
      <c r="O46" s="2" t="s">
        <v>259</v>
      </c>
      <c r="P46">
        <v>1</v>
      </c>
      <c r="Q46" t="s">
        <v>260</v>
      </c>
      <c r="R46">
        <v>0</v>
      </c>
      <c r="S46" t="s">
        <v>261</v>
      </c>
      <c r="T46">
        <v>1</v>
      </c>
      <c r="U46" t="s">
        <v>109</v>
      </c>
      <c r="V46" t="s">
        <v>164</v>
      </c>
    </row>
    <row r="47" spans="1:22" hidden="1" x14ac:dyDescent="0.2">
      <c r="A47" t="s">
        <v>140</v>
      </c>
      <c r="B47" t="s">
        <v>23</v>
      </c>
      <c r="C47" t="s">
        <v>24</v>
      </c>
      <c r="D47" t="s">
        <v>157</v>
      </c>
      <c r="E47" t="s">
        <v>26</v>
      </c>
      <c r="F47" t="s">
        <v>141</v>
      </c>
      <c r="G47" t="s">
        <v>28</v>
      </c>
      <c r="H47">
        <v>1</v>
      </c>
      <c r="I47" s="1" t="s">
        <v>262</v>
      </c>
      <c r="J47" t="s">
        <v>263</v>
      </c>
      <c r="K47">
        <v>1281</v>
      </c>
      <c r="L47">
        <v>498</v>
      </c>
      <c r="M47">
        <v>358</v>
      </c>
      <c r="N47">
        <v>22</v>
      </c>
      <c r="O47" s="2" t="s">
        <v>264</v>
      </c>
      <c r="P47">
        <v>1</v>
      </c>
      <c r="Q47" t="s">
        <v>265</v>
      </c>
      <c r="R47">
        <v>0</v>
      </c>
      <c r="S47" t="s">
        <v>266</v>
      </c>
      <c r="T47">
        <v>1</v>
      </c>
      <c r="U47" t="s">
        <v>267</v>
      </c>
      <c r="V47" t="s">
        <v>164</v>
      </c>
    </row>
    <row r="48" spans="1:22" hidden="1" x14ac:dyDescent="0.2">
      <c r="A48" t="s">
        <v>140</v>
      </c>
      <c r="B48" t="s">
        <v>23</v>
      </c>
      <c r="C48" t="s">
        <v>24</v>
      </c>
      <c r="D48" t="s">
        <v>157</v>
      </c>
      <c r="E48" t="s">
        <v>26</v>
      </c>
      <c r="F48" t="s">
        <v>141</v>
      </c>
      <c r="G48" t="s">
        <v>28</v>
      </c>
      <c r="H48">
        <v>2</v>
      </c>
      <c r="I48" s="1" t="s">
        <v>262</v>
      </c>
      <c r="J48" t="s">
        <v>268</v>
      </c>
      <c r="K48">
        <v>1281</v>
      </c>
      <c r="L48">
        <v>498</v>
      </c>
      <c r="M48">
        <v>432</v>
      </c>
      <c r="N48">
        <v>29</v>
      </c>
      <c r="O48" s="2" t="s">
        <v>269</v>
      </c>
      <c r="P48">
        <v>1</v>
      </c>
      <c r="Q48" t="s">
        <v>270</v>
      </c>
      <c r="R48">
        <v>0</v>
      </c>
      <c r="S48" t="s">
        <v>271</v>
      </c>
      <c r="T48">
        <v>1</v>
      </c>
      <c r="U48" t="s">
        <v>272</v>
      </c>
      <c r="V48" t="s">
        <v>164</v>
      </c>
    </row>
    <row r="49" spans="1:22" hidden="1" x14ac:dyDescent="0.2">
      <c r="A49" t="s">
        <v>140</v>
      </c>
      <c r="B49" t="s">
        <v>23</v>
      </c>
      <c r="C49" t="s">
        <v>24</v>
      </c>
      <c r="D49" t="s">
        <v>157</v>
      </c>
      <c r="E49" t="s">
        <v>26</v>
      </c>
      <c r="F49" t="s">
        <v>141</v>
      </c>
      <c r="G49" t="s">
        <v>28</v>
      </c>
      <c r="H49">
        <v>3</v>
      </c>
      <c r="I49" s="1" t="s">
        <v>262</v>
      </c>
      <c r="J49" s="1" t="s">
        <v>273</v>
      </c>
      <c r="K49">
        <v>1281</v>
      </c>
      <c r="L49">
        <v>498</v>
      </c>
      <c r="M49">
        <v>242</v>
      </c>
      <c r="N49">
        <v>29</v>
      </c>
      <c r="O49" s="2" t="s">
        <v>274</v>
      </c>
      <c r="P49">
        <v>1</v>
      </c>
      <c r="Q49" t="s">
        <v>275</v>
      </c>
      <c r="R49">
        <v>0</v>
      </c>
      <c r="S49" t="s">
        <v>276</v>
      </c>
      <c r="T49">
        <v>1</v>
      </c>
      <c r="U49" t="s">
        <v>277</v>
      </c>
      <c r="V49" t="s">
        <v>164</v>
      </c>
    </row>
    <row r="50" spans="1:22" hidden="1" x14ac:dyDescent="0.2">
      <c r="A50" t="s">
        <v>22</v>
      </c>
      <c r="B50" t="s">
        <v>23</v>
      </c>
      <c r="C50" t="s">
        <v>24</v>
      </c>
      <c r="D50" t="s">
        <v>278</v>
      </c>
      <c r="E50" t="s">
        <v>26</v>
      </c>
      <c r="F50" t="s">
        <v>27</v>
      </c>
      <c r="G50" t="s">
        <v>28</v>
      </c>
      <c r="H50">
        <v>1</v>
      </c>
      <c r="I50" s="1" t="s">
        <v>279</v>
      </c>
      <c r="J50" s="1" t="s">
        <v>280</v>
      </c>
      <c r="K50">
        <v>1169</v>
      </c>
      <c r="L50">
        <v>435</v>
      </c>
      <c r="M50">
        <v>134</v>
      </c>
      <c r="N50">
        <v>80</v>
      </c>
      <c r="O50" s="2" t="s">
        <v>281</v>
      </c>
      <c r="P50">
        <v>1</v>
      </c>
      <c r="Q50" t="s">
        <v>282</v>
      </c>
      <c r="R50">
        <v>0</v>
      </c>
      <c r="S50" t="s">
        <v>283</v>
      </c>
      <c r="T50">
        <v>1</v>
      </c>
      <c r="U50" t="s">
        <v>284</v>
      </c>
      <c r="V50" t="s">
        <v>285</v>
      </c>
    </row>
    <row r="51" spans="1:22" hidden="1" x14ac:dyDescent="0.2">
      <c r="A51" t="s">
        <v>22</v>
      </c>
      <c r="B51" t="s">
        <v>23</v>
      </c>
      <c r="C51" t="s">
        <v>24</v>
      </c>
      <c r="D51" t="s">
        <v>278</v>
      </c>
      <c r="E51" t="s">
        <v>26</v>
      </c>
      <c r="F51" t="s">
        <v>27</v>
      </c>
      <c r="G51" t="s">
        <v>28</v>
      </c>
      <c r="H51">
        <v>2</v>
      </c>
      <c r="I51" s="1" t="s">
        <v>279</v>
      </c>
      <c r="J51" s="1" t="s">
        <v>286</v>
      </c>
      <c r="K51">
        <v>1169</v>
      </c>
      <c r="L51">
        <v>435</v>
      </c>
      <c r="M51">
        <v>126</v>
      </c>
      <c r="N51">
        <v>73</v>
      </c>
      <c r="O51" s="2" t="s">
        <v>287</v>
      </c>
      <c r="P51">
        <v>1</v>
      </c>
      <c r="Q51" t="s">
        <v>288</v>
      </c>
      <c r="R51">
        <v>1</v>
      </c>
      <c r="S51" t="s">
        <v>289</v>
      </c>
      <c r="T51">
        <v>1</v>
      </c>
      <c r="U51" t="s">
        <v>290</v>
      </c>
      <c r="V51" t="s">
        <v>285</v>
      </c>
    </row>
    <row r="52" spans="1:22" hidden="1" x14ac:dyDescent="0.2">
      <c r="A52" t="s">
        <v>22</v>
      </c>
      <c r="B52" t="s">
        <v>23</v>
      </c>
      <c r="C52" t="s">
        <v>24</v>
      </c>
      <c r="D52" t="s">
        <v>278</v>
      </c>
      <c r="E52" t="s">
        <v>26</v>
      </c>
      <c r="F52" t="s">
        <v>27</v>
      </c>
      <c r="G52" t="s">
        <v>28</v>
      </c>
      <c r="H52">
        <v>3</v>
      </c>
      <c r="I52" s="1" t="s">
        <v>279</v>
      </c>
      <c r="J52" s="1" t="s">
        <v>291</v>
      </c>
      <c r="K52">
        <v>1169</v>
      </c>
      <c r="L52">
        <v>435</v>
      </c>
      <c r="M52">
        <v>136</v>
      </c>
      <c r="N52">
        <v>77</v>
      </c>
      <c r="O52" s="2" t="s">
        <v>292</v>
      </c>
      <c r="P52">
        <v>1</v>
      </c>
      <c r="Q52" t="s">
        <v>293</v>
      </c>
      <c r="R52">
        <v>1</v>
      </c>
      <c r="S52" t="s">
        <v>294</v>
      </c>
      <c r="T52">
        <v>1</v>
      </c>
      <c r="U52" t="s">
        <v>295</v>
      </c>
      <c r="V52" t="s">
        <v>285</v>
      </c>
    </row>
    <row r="53" spans="1:22" hidden="1" x14ac:dyDescent="0.2">
      <c r="A53" t="s">
        <v>22</v>
      </c>
      <c r="B53" t="s">
        <v>23</v>
      </c>
      <c r="C53" t="s">
        <v>24</v>
      </c>
      <c r="D53" t="s">
        <v>278</v>
      </c>
      <c r="E53" t="s">
        <v>26</v>
      </c>
      <c r="F53" t="s">
        <v>46</v>
      </c>
      <c r="G53" t="s">
        <v>28</v>
      </c>
      <c r="H53">
        <v>1</v>
      </c>
      <c r="I53" s="1" t="s">
        <v>296</v>
      </c>
      <c r="J53" s="1" t="s">
        <v>297</v>
      </c>
      <c r="K53">
        <v>1197</v>
      </c>
      <c r="L53">
        <v>449</v>
      </c>
      <c r="M53">
        <v>209</v>
      </c>
      <c r="N53">
        <v>130</v>
      </c>
      <c r="O53" s="2" t="s">
        <v>298</v>
      </c>
      <c r="P53">
        <v>1</v>
      </c>
      <c r="Q53" t="s">
        <v>299</v>
      </c>
      <c r="R53">
        <v>1</v>
      </c>
      <c r="S53" t="s">
        <v>300</v>
      </c>
      <c r="T53">
        <v>1</v>
      </c>
      <c r="U53" t="s">
        <v>301</v>
      </c>
      <c r="V53" t="s">
        <v>285</v>
      </c>
    </row>
    <row r="54" spans="1:22" hidden="1" x14ac:dyDescent="0.2">
      <c r="A54" t="s">
        <v>22</v>
      </c>
      <c r="B54" t="s">
        <v>23</v>
      </c>
      <c r="C54" t="s">
        <v>24</v>
      </c>
      <c r="D54" t="s">
        <v>278</v>
      </c>
      <c r="E54" t="s">
        <v>26</v>
      </c>
      <c r="F54" t="s">
        <v>46</v>
      </c>
      <c r="G54" t="s">
        <v>28</v>
      </c>
      <c r="H54">
        <v>2</v>
      </c>
      <c r="I54" s="1" t="s">
        <v>296</v>
      </c>
      <c r="J54" s="1" t="s">
        <v>302</v>
      </c>
      <c r="K54">
        <v>1197</v>
      </c>
      <c r="L54">
        <v>449</v>
      </c>
      <c r="M54">
        <v>213</v>
      </c>
      <c r="N54">
        <v>133</v>
      </c>
      <c r="O54" s="2" t="s">
        <v>303</v>
      </c>
      <c r="P54">
        <v>1</v>
      </c>
      <c r="Q54" t="s">
        <v>304</v>
      </c>
      <c r="R54">
        <v>1</v>
      </c>
      <c r="S54" t="s">
        <v>305</v>
      </c>
      <c r="T54">
        <v>1</v>
      </c>
      <c r="U54" t="s">
        <v>306</v>
      </c>
      <c r="V54" t="s">
        <v>285</v>
      </c>
    </row>
    <row r="55" spans="1:22" hidden="1" x14ac:dyDescent="0.2">
      <c r="A55" t="s">
        <v>22</v>
      </c>
      <c r="B55" t="s">
        <v>23</v>
      </c>
      <c r="C55" t="s">
        <v>24</v>
      </c>
      <c r="D55" t="s">
        <v>278</v>
      </c>
      <c r="E55" t="s">
        <v>26</v>
      </c>
      <c r="F55" t="s">
        <v>46</v>
      </c>
      <c r="G55" t="s">
        <v>28</v>
      </c>
      <c r="H55">
        <v>3</v>
      </c>
      <c r="I55" s="1" t="s">
        <v>296</v>
      </c>
      <c r="J55" s="1" t="s">
        <v>307</v>
      </c>
      <c r="K55">
        <v>1197</v>
      </c>
      <c r="L55">
        <v>449</v>
      </c>
      <c r="M55">
        <v>209</v>
      </c>
      <c r="N55">
        <v>126</v>
      </c>
      <c r="O55" s="2" t="s">
        <v>308</v>
      </c>
      <c r="P55">
        <v>1</v>
      </c>
      <c r="Q55" t="s">
        <v>309</v>
      </c>
      <c r="R55">
        <v>1</v>
      </c>
      <c r="S55" t="s">
        <v>310</v>
      </c>
      <c r="T55">
        <v>1</v>
      </c>
      <c r="U55" t="s">
        <v>227</v>
      </c>
      <c r="V55" t="s">
        <v>285</v>
      </c>
    </row>
    <row r="56" spans="1:22" hidden="1" x14ac:dyDescent="0.2">
      <c r="A56" t="s">
        <v>22</v>
      </c>
      <c r="B56" t="s">
        <v>23</v>
      </c>
      <c r="C56" t="s">
        <v>24</v>
      </c>
      <c r="D56" t="s">
        <v>278</v>
      </c>
      <c r="E56" t="s">
        <v>26</v>
      </c>
      <c r="F56" t="s">
        <v>61</v>
      </c>
      <c r="G56" t="s">
        <v>28</v>
      </c>
      <c r="H56">
        <v>1</v>
      </c>
      <c r="I56" s="1" t="s">
        <v>311</v>
      </c>
      <c r="J56" s="1" t="s">
        <v>312</v>
      </c>
      <c r="K56">
        <v>1232</v>
      </c>
      <c r="L56">
        <v>471</v>
      </c>
      <c r="M56">
        <v>197</v>
      </c>
      <c r="N56">
        <v>106</v>
      </c>
      <c r="O56" s="2" t="s">
        <v>313</v>
      </c>
      <c r="P56">
        <v>1</v>
      </c>
      <c r="Q56" t="s">
        <v>314</v>
      </c>
      <c r="R56">
        <v>1</v>
      </c>
      <c r="S56" t="s">
        <v>315</v>
      </c>
      <c r="T56">
        <v>1</v>
      </c>
      <c r="U56" t="s">
        <v>316</v>
      </c>
      <c r="V56" t="s">
        <v>285</v>
      </c>
    </row>
    <row r="57" spans="1:22" hidden="1" x14ac:dyDescent="0.2">
      <c r="A57" t="s">
        <v>22</v>
      </c>
      <c r="B57" t="s">
        <v>23</v>
      </c>
      <c r="C57" t="s">
        <v>24</v>
      </c>
      <c r="D57" t="s">
        <v>278</v>
      </c>
      <c r="E57" t="s">
        <v>26</v>
      </c>
      <c r="F57" t="s">
        <v>61</v>
      </c>
      <c r="G57" t="s">
        <v>28</v>
      </c>
      <c r="H57">
        <v>2</v>
      </c>
      <c r="I57" s="1" t="s">
        <v>311</v>
      </c>
      <c r="J57" s="1" t="s">
        <v>317</v>
      </c>
      <c r="K57">
        <v>1232</v>
      </c>
      <c r="L57">
        <v>471</v>
      </c>
      <c r="M57">
        <v>218</v>
      </c>
      <c r="N57">
        <v>125</v>
      </c>
      <c r="O57">
        <v>4.8100850582122803</v>
      </c>
      <c r="P57">
        <v>1</v>
      </c>
      <c r="Q57" t="s">
        <v>318</v>
      </c>
      <c r="R57">
        <v>1</v>
      </c>
      <c r="S57" t="s">
        <v>319</v>
      </c>
      <c r="T57">
        <v>1</v>
      </c>
      <c r="U57" t="s">
        <v>320</v>
      </c>
      <c r="V57" t="s">
        <v>285</v>
      </c>
    </row>
    <row r="58" spans="1:22" hidden="1" x14ac:dyDescent="0.2">
      <c r="A58" t="s">
        <v>22</v>
      </c>
      <c r="B58" t="s">
        <v>23</v>
      </c>
      <c r="C58" t="s">
        <v>24</v>
      </c>
      <c r="D58" t="s">
        <v>278</v>
      </c>
      <c r="E58" t="s">
        <v>26</v>
      </c>
      <c r="F58" t="s">
        <v>61</v>
      </c>
      <c r="G58" t="s">
        <v>28</v>
      </c>
      <c r="H58">
        <v>3</v>
      </c>
      <c r="I58" s="1" t="s">
        <v>311</v>
      </c>
      <c r="J58" s="1" t="s">
        <v>321</v>
      </c>
      <c r="K58">
        <v>1232</v>
      </c>
      <c r="L58">
        <v>471</v>
      </c>
      <c r="M58">
        <v>200</v>
      </c>
      <c r="N58">
        <v>114</v>
      </c>
      <c r="O58" s="2" t="s">
        <v>322</v>
      </c>
      <c r="P58">
        <v>1</v>
      </c>
      <c r="Q58" t="s">
        <v>323</v>
      </c>
      <c r="R58">
        <v>1</v>
      </c>
      <c r="S58" t="s">
        <v>324</v>
      </c>
      <c r="T58">
        <v>1</v>
      </c>
      <c r="U58" t="s">
        <v>325</v>
      </c>
      <c r="V58" t="s">
        <v>285</v>
      </c>
    </row>
    <row r="59" spans="1:22" hidden="1" x14ac:dyDescent="0.2">
      <c r="A59" t="s">
        <v>76</v>
      </c>
      <c r="B59" t="s">
        <v>23</v>
      </c>
      <c r="C59" t="s">
        <v>24</v>
      </c>
      <c r="D59" t="s">
        <v>278</v>
      </c>
      <c r="E59" t="s">
        <v>26</v>
      </c>
      <c r="F59" t="s">
        <v>77</v>
      </c>
      <c r="G59" t="s">
        <v>28</v>
      </c>
      <c r="H59">
        <v>1</v>
      </c>
      <c r="I59" s="1" t="s">
        <v>311</v>
      </c>
      <c r="J59" s="1" t="s">
        <v>326</v>
      </c>
      <c r="K59">
        <v>1144</v>
      </c>
      <c r="L59">
        <v>471</v>
      </c>
      <c r="M59">
        <v>166</v>
      </c>
      <c r="N59">
        <v>109</v>
      </c>
      <c r="O59" s="2" t="s">
        <v>327</v>
      </c>
      <c r="P59">
        <v>1</v>
      </c>
      <c r="Q59" t="s">
        <v>328</v>
      </c>
      <c r="R59">
        <v>0</v>
      </c>
      <c r="S59" t="s">
        <v>329</v>
      </c>
      <c r="T59">
        <v>1</v>
      </c>
      <c r="U59" t="s">
        <v>330</v>
      </c>
      <c r="V59" t="s">
        <v>285</v>
      </c>
    </row>
    <row r="60" spans="1:22" hidden="1" x14ac:dyDescent="0.2">
      <c r="A60" t="s">
        <v>76</v>
      </c>
      <c r="B60" t="s">
        <v>23</v>
      </c>
      <c r="C60" t="s">
        <v>24</v>
      </c>
      <c r="D60" t="s">
        <v>278</v>
      </c>
      <c r="E60" t="s">
        <v>26</v>
      </c>
      <c r="F60" t="s">
        <v>77</v>
      </c>
      <c r="G60" t="s">
        <v>28</v>
      </c>
      <c r="H60">
        <v>2</v>
      </c>
      <c r="I60" s="1" t="s">
        <v>311</v>
      </c>
      <c r="J60" s="1" t="s">
        <v>331</v>
      </c>
      <c r="K60">
        <v>1144</v>
      </c>
      <c r="L60">
        <v>471</v>
      </c>
      <c r="M60">
        <v>162</v>
      </c>
      <c r="N60">
        <v>108</v>
      </c>
      <c r="O60" s="2" t="s">
        <v>332</v>
      </c>
      <c r="P60">
        <v>1</v>
      </c>
      <c r="Q60" t="s">
        <v>333</v>
      </c>
      <c r="R60">
        <v>0</v>
      </c>
      <c r="S60" t="s">
        <v>334</v>
      </c>
      <c r="T60">
        <v>1</v>
      </c>
      <c r="U60" t="s">
        <v>257</v>
      </c>
      <c r="V60" t="s">
        <v>285</v>
      </c>
    </row>
    <row r="61" spans="1:22" hidden="1" x14ac:dyDescent="0.2">
      <c r="A61" t="s">
        <v>76</v>
      </c>
      <c r="B61" t="s">
        <v>23</v>
      </c>
      <c r="C61" t="s">
        <v>24</v>
      </c>
      <c r="D61" t="s">
        <v>278</v>
      </c>
      <c r="E61" t="s">
        <v>26</v>
      </c>
      <c r="F61" t="s">
        <v>77</v>
      </c>
      <c r="G61" t="s">
        <v>28</v>
      </c>
      <c r="H61">
        <v>3</v>
      </c>
      <c r="I61" s="1" t="s">
        <v>311</v>
      </c>
      <c r="J61" s="1" t="s">
        <v>335</v>
      </c>
      <c r="K61">
        <v>1144</v>
      </c>
      <c r="L61">
        <v>471</v>
      </c>
      <c r="M61">
        <v>156</v>
      </c>
      <c r="N61">
        <v>101</v>
      </c>
      <c r="O61" s="2" t="s">
        <v>336</v>
      </c>
      <c r="P61">
        <v>1</v>
      </c>
      <c r="Q61" t="s">
        <v>337</v>
      </c>
      <c r="R61">
        <v>1</v>
      </c>
      <c r="S61" t="s">
        <v>338</v>
      </c>
      <c r="T61">
        <v>1</v>
      </c>
      <c r="U61" t="s">
        <v>339</v>
      </c>
      <c r="V61" t="s">
        <v>285</v>
      </c>
    </row>
    <row r="62" spans="1:22" hidden="1" x14ac:dyDescent="0.2">
      <c r="A62" t="s">
        <v>93</v>
      </c>
      <c r="B62" t="s">
        <v>23</v>
      </c>
      <c r="C62" t="s">
        <v>24</v>
      </c>
      <c r="D62" t="s">
        <v>278</v>
      </c>
      <c r="E62" t="s">
        <v>26</v>
      </c>
      <c r="F62" t="s">
        <v>94</v>
      </c>
      <c r="G62" t="s">
        <v>28</v>
      </c>
      <c r="H62">
        <v>1</v>
      </c>
      <c r="I62" s="1" t="s">
        <v>279</v>
      </c>
      <c r="J62" s="1" t="s">
        <v>340</v>
      </c>
      <c r="K62">
        <v>1088</v>
      </c>
      <c r="L62">
        <v>435</v>
      </c>
      <c r="M62">
        <v>114</v>
      </c>
      <c r="N62">
        <v>78</v>
      </c>
      <c r="O62" s="2" t="s">
        <v>341</v>
      </c>
      <c r="P62">
        <v>0</v>
      </c>
      <c r="Q62" t="s">
        <v>342</v>
      </c>
      <c r="R62">
        <v>1</v>
      </c>
      <c r="S62" t="s">
        <v>343</v>
      </c>
      <c r="T62">
        <v>1</v>
      </c>
      <c r="U62" t="s">
        <v>82</v>
      </c>
      <c r="V62" t="s">
        <v>285</v>
      </c>
    </row>
    <row r="63" spans="1:22" hidden="1" x14ac:dyDescent="0.2">
      <c r="A63" t="s">
        <v>93</v>
      </c>
      <c r="B63" t="s">
        <v>23</v>
      </c>
      <c r="C63" t="s">
        <v>24</v>
      </c>
      <c r="D63" t="s">
        <v>278</v>
      </c>
      <c r="E63" t="s">
        <v>26</v>
      </c>
      <c r="F63" t="s">
        <v>94</v>
      </c>
      <c r="G63" t="s">
        <v>28</v>
      </c>
      <c r="H63">
        <v>2</v>
      </c>
      <c r="I63" s="1" t="s">
        <v>279</v>
      </c>
      <c r="J63" s="1" t="s">
        <v>344</v>
      </c>
      <c r="K63">
        <v>1088</v>
      </c>
      <c r="L63">
        <v>435</v>
      </c>
      <c r="M63">
        <v>126</v>
      </c>
      <c r="N63">
        <v>87</v>
      </c>
      <c r="O63" s="2" t="s">
        <v>345</v>
      </c>
      <c r="P63">
        <v>1</v>
      </c>
      <c r="Q63" t="s">
        <v>346</v>
      </c>
      <c r="R63">
        <v>1</v>
      </c>
      <c r="S63" t="s">
        <v>347</v>
      </c>
      <c r="T63">
        <v>1</v>
      </c>
      <c r="U63" t="s">
        <v>325</v>
      </c>
      <c r="V63" t="s">
        <v>285</v>
      </c>
    </row>
    <row r="64" spans="1:22" hidden="1" x14ac:dyDescent="0.2">
      <c r="A64" t="s">
        <v>93</v>
      </c>
      <c r="B64" t="s">
        <v>23</v>
      </c>
      <c r="C64" t="s">
        <v>24</v>
      </c>
      <c r="D64" t="s">
        <v>278</v>
      </c>
      <c r="E64" t="s">
        <v>26</v>
      </c>
      <c r="F64" t="s">
        <v>94</v>
      </c>
      <c r="G64" t="s">
        <v>28</v>
      </c>
      <c r="H64">
        <v>3</v>
      </c>
      <c r="I64" s="1" t="s">
        <v>279</v>
      </c>
      <c r="J64" s="1" t="s">
        <v>348</v>
      </c>
      <c r="K64">
        <v>1088</v>
      </c>
      <c r="L64">
        <v>435</v>
      </c>
      <c r="M64">
        <v>108</v>
      </c>
      <c r="N64">
        <v>73</v>
      </c>
      <c r="O64" s="2" t="s">
        <v>349</v>
      </c>
      <c r="P64">
        <v>1</v>
      </c>
      <c r="Q64" t="s">
        <v>350</v>
      </c>
      <c r="R64">
        <v>1</v>
      </c>
      <c r="S64" t="s">
        <v>351</v>
      </c>
      <c r="T64">
        <v>1</v>
      </c>
      <c r="U64" t="s">
        <v>352</v>
      </c>
      <c r="V64" t="s">
        <v>285</v>
      </c>
    </row>
    <row r="65" spans="1:22" hidden="1" x14ac:dyDescent="0.2">
      <c r="A65" t="s">
        <v>93</v>
      </c>
      <c r="B65" t="s">
        <v>23</v>
      </c>
      <c r="C65" t="s">
        <v>24</v>
      </c>
      <c r="D65" t="s">
        <v>278</v>
      </c>
      <c r="E65" t="s">
        <v>26</v>
      </c>
      <c r="F65" t="s">
        <v>110</v>
      </c>
      <c r="G65" t="s">
        <v>28</v>
      </c>
      <c r="H65">
        <v>1</v>
      </c>
      <c r="I65" s="1" t="s">
        <v>296</v>
      </c>
      <c r="J65" s="1" t="s">
        <v>353</v>
      </c>
      <c r="K65">
        <v>1113</v>
      </c>
      <c r="L65">
        <v>449</v>
      </c>
      <c r="M65">
        <v>170</v>
      </c>
      <c r="N65">
        <v>118</v>
      </c>
      <c r="O65" s="2" t="s">
        <v>354</v>
      </c>
      <c r="P65">
        <v>1</v>
      </c>
      <c r="Q65" t="s">
        <v>355</v>
      </c>
      <c r="R65">
        <v>1</v>
      </c>
      <c r="S65" t="s">
        <v>356</v>
      </c>
      <c r="T65">
        <v>1</v>
      </c>
      <c r="U65" t="s">
        <v>109</v>
      </c>
      <c r="V65" t="s">
        <v>285</v>
      </c>
    </row>
    <row r="66" spans="1:22" hidden="1" x14ac:dyDescent="0.2">
      <c r="A66" t="s">
        <v>93</v>
      </c>
      <c r="B66" t="s">
        <v>23</v>
      </c>
      <c r="C66" t="s">
        <v>24</v>
      </c>
      <c r="D66" t="s">
        <v>278</v>
      </c>
      <c r="E66" t="s">
        <v>26</v>
      </c>
      <c r="F66" t="s">
        <v>110</v>
      </c>
      <c r="G66" t="s">
        <v>28</v>
      </c>
      <c r="H66">
        <v>2</v>
      </c>
      <c r="I66" s="1" t="s">
        <v>296</v>
      </c>
      <c r="J66" s="1" t="s">
        <v>357</v>
      </c>
      <c r="K66">
        <v>1113</v>
      </c>
      <c r="L66">
        <v>449</v>
      </c>
      <c r="M66">
        <v>167</v>
      </c>
      <c r="N66">
        <v>118</v>
      </c>
      <c r="O66" s="2" t="s">
        <v>358</v>
      </c>
      <c r="P66">
        <v>1</v>
      </c>
      <c r="Q66" t="s">
        <v>359</v>
      </c>
      <c r="R66">
        <v>0</v>
      </c>
      <c r="S66" t="s">
        <v>360</v>
      </c>
      <c r="T66">
        <v>1</v>
      </c>
      <c r="U66" t="s">
        <v>361</v>
      </c>
      <c r="V66" t="s">
        <v>285</v>
      </c>
    </row>
    <row r="67" spans="1:22" hidden="1" x14ac:dyDescent="0.2">
      <c r="A67" t="s">
        <v>93</v>
      </c>
      <c r="B67" t="s">
        <v>23</v>
      </c>
      <c r="C67" t="s">
        <v>24</v>
      </c>
      <c r="D67" t="s">
        <v>278</v>
      </c>
      <c r="E67" t="s">
        <v>26</v>
      </c>
      <c r="F67" t="s">
        <v>110</v>
      </c>
      <c r="G67" t="s">
        <v>28</v>
      </c>
      <c r="H67">
        <v>3</v>
      </c>
      <c r="I67" s="1" t="s">
        <v>296</v>
      </c>
      <c r="J67" s="1" t="s">
        <v>362</v>
      </c>
      <c r="K67">
        <v>1113</v>
      </c>
      <c r="L67">
        <v>449</v>
      </c>
      <c r="M67">
        <v>184</v>
      </c>
      <c r="N67">
        <v>132</v>
      </c>
      <c r="O67" s="2" t="s">
        <v>363</v>
      </c>
      <c r="P67">
        <v>1</v>
      </c>
      <c r="Q67" t="s">
        <v>364</v>
      </c>
      <c r="R67">
        <v>1</v>
      </c>
      <c r="S67" t="s">
        <v>365</v>
      </c>
      <c r="T67">
        <v>1</v>
      </c>
      <c r="U67" t="s">
        <v>366</v>
      </c>
      <c r="V67" t="s">
        <v>285</v>
      </c>
    </row>
    <row r="68" spans="1:22" hidden="1" x14ac:dyDescent="0.2">
      <c r="A68" t="s">
        <v>93</v>
      </c>
      <c r="B68" t="s">
        <v>23</v>
      </c>
      <c r="C68" t="s">
        <v>24</v>
      </c>
      <c r="D68" t="s">
        <v>278</v>
      </c>
      <c r="E68" t="s">
        <v>26</v>
      </c>
      <c r="F68" t="s">
        <v>125</v>
      </c>
      <c r="G68" t="s">
        <v>28</v>
      </c>
      <c r="H68">
        <v>1</v>
      </c>
      <c r="I68" s="1" t="s">
        <v>311</v>
      </c>
      <c r="J68" s="1" t="s">
        <v>367</v>
      </c>
      <c r="K68">
        <v>1144</v>
      </c>
      <c r="L68">
        <v>471</v>
      </c>
      <c r="M68">
        <v>167</v>
      </c>
      <c r="N68">
        <v>111</v>
      </c>
      <c r="O68" s="2" t="s">
        <v>368</v>
      </c>
      <c r="P68">
        <v>1</v>
      </c>
      <c r="Q68" t="s">
        <v>369</v>
      </c>
      <c r="R68">
        <v>1</v>
      </c>
      <c r="S68" t="s">
        <v>370</v>
      </c>
      <c r="T68">
        <v>1</v>
      </c>
      <c r="U68" t="s">
        <v>109</v>
      </c>
      <c r="V68" t="s">
        <v>285</v>
      </c>
    </row>
    <row r="69" spans="1:22" hidden="1" x14ac:dyDescent="0.2">
      <c r="A69" t="s">
        <v>93</v>
      </c>
      <c r="B69" t="s">
        <v>23</v>
      </c>
      <c r="C69" t="s">
        <v>24</v>
      </c>
      <c r="D69" t="s">
        <v>278</v>
      </c>
      <c r="E69" t="s">
        <v>26</v>
      </c>
      <c r="F69" t="s">
        <v>125</v>
      </c>
      <c r="G69" t="s">
        <v>28</v>
      </c>
      <c r="H69">
        <v>2</v>
      </c>
      <c r="I69" s="1" t="s">
        <v>311</v>
      </c>
      <c r="J69" s="1" t="s">
        <v>371</v>
      </c>
      <c r="K69">
        <v>1144</v>
      </c>
      <c r="L69">
        <v>471</v>
      </c>
      <c r="M69">
        <v>160</v>
      </c>
      <c r="N69">
        <v>106</v>
      </c>
      <c r="O69" s="2" t="s">
        <v>372</v>
      </c>
      <c r="P69">
        <v>1</v>
      </c>
      <c r="Q69" t="s">
        <v>373</v>
      </c>
      <c r="R69">
        <v>1</v>
      </c>
      <c r="S69" t="s">
        <v>374</v>
      </c>
      <c r="T69">
        <v>1</v>
      </c>
      <c r="U69" t="s">
        <v>375</v>
      </c>
      <c r="V69" t="s">
        <v>285</v>
      </c>
    </row>
    <row r="70" spans="1:22" hidden="1" x14ac:dyDescent="0.2">
      <c r="A70" t="s">
        <v>93</v>
      </c>
      <c r="B70" t="s">
        <v>23</v>
      </c>
      <c r="C70" t="s">
        <v>24</v>
      </c>
      <c r="D70" t="s">
        <v>278</v>
      </c>
      <c r="E70" t="s">
        <v>26</v>
      </c>
      <c r="F70" t="s">
        <v>125</v>
      </c>
      <c r="G70" t="s">
        <v>28</v>
      </c>
      <c r="H70">
        <v>3</v>
      </c>
      <c r="I70" s="1" t="s">
        <v>311</v>
      </c>
      <c r="J70" s="1" t="s">
        <v>376</v>
      </c>
      <c r="K70">
        <v>1144</v>
      </c>
      <c r="L70">
        <v>471</v>
      </c>
      <c r="M70">
        <v>200</v>
      </c>
      <c r="N70">
        <v>141</v>
      </c>
      <c r="O70" s="2" t="s">
        <v>377</v>
      </c>
      <c r="P70">
        <v>1</v>
      </c>
      <c r="Q70" t="s">
        <v>378</v>
      </c>
      <c r="R70">
        <v>1</v>
      </c>
      <c r="S70" t="s">
        <v>379</v>
      </c>
      <c r="T70">
        <v>1</v>
      </c>
      <c r="U70" t="s">
        <v>82</v>
      </c>
      <c r="V70" t="s">
        <v>285</v>
      </c>
    </row>
    <row r="71" spans="1:22" hidden="1" x14ac:dyDescent="0.2">
      <c r="A71" t="s">
        <v>140</v>
      </c>
      <c r="B71" t="s">
        <v>23</v>
      </c>
      <c r="C71" t="s">
        <v>24</v>
      </c>
      <c r="D71" t="s">
        <v>278</v>
      </c>
      <c r="E71" t="s">
        <v>26</v>
      </c>
      <c r="F71" t="s">
        <v>141</v>
      </c>
      <c r="G71" t="s">
        <v>28</v>
      </c>
      <c r="H71">
        <v>1</v>
      </c>
      <c r="I71" s="1" t="s">
        <v>380</v>
      </c>
      <c r="J71" s="1" t="s">
        <v>381</v>
      </c>
      <c r="K71">
        <v>1052</v>
      </c>
      <c r="L71">
        <v>420</v>
      </c>
      <c r="M71">
        <v>366</v>
      </c>
      <c r="N71">
        <v>29</v>
      </c>
      <c r="O71" s="2" t="s">
        <v>382</v>
      </c>
      <c r="P71">
        <v>1</v>
      </c>
      <c r="Q71" t="s">
        <v>383</v>
      </c>
      <c r="R71">
        <v>0</v>
      </c>
      <c r="S71" t="s">
        <v>384</v>
      </c>
      <c r="T71">
        <v>1</v>
      </c>
      <c r="U71" t="s">
        <v>385</v>
      </c>
      <c r="V71" t="s">
        <v>285</v>
      </c>
    </row>
    <row r="72" spans="1:22" hidden="1" x14ac:dyDescent="0.2">
      <c r="A72" t="s">
        <v>140</v>
      </c>
      <c r="B72" t="s">
        <v>23</v>
      </c>
      <c r="C72" t="s">
        <v>24</v>
      </c>
      <c r="D72" t="s">
        <v>278</v>
      </c>
      <c r="E72" t="s">
        <v>26</v>
      </c>
      <c r="F72" t="s">
        <v>141</v>
      </c>
      <c r="G72" t="s">
        <v>28</v>
      </c>
      <c r="H72">
        <v>2</v>
      </c>
      <c r="I72" s="1" t="s">
        <v>380</v>
      </c>
      <c r="J72" t="s">
        <v>386</v>
      </c>
      <c r="K72">
        <v>1052</v>
      </c>
      <c r="L72">
        <v>420</v>
      </c>
      <c r="M72">
        <v>233</v>
      </c>
      <c r="N72">
        <v>24</v>
      </c>
      <c r="O72" s="2" t="s">
        <v>387</v>
      </c>
      <c r="P72">
        <v>1</v>
      </c>
      <c r="Q72" t="s">
        <v>388</v>
      </c>
      <c r="R72">
        <v>1</v>
      </c>
      <c r="S72" t="s">
        <v>389</v>
      </c>
      <c r="T72">
        <v>1</v>
      </c>
      <c r="U72" t="s">
        <v>109</v>
      </c>
      <c r="V72" t="s">
        <v>285</v>
      </c>
    </row>
    <row r="73" spans="1:22" hidden="1" x14ac:dyDescent="0.2">
      <c r="A73" t="s">
        <v>140</v>
      </c>
      <c r="B73" t="s">
        <v>23</v>
      </c>
      <c r="C73" t="s">
        <v>24</v>
      </c>
      <c r="D73" t="s">
        <v>278</v>
      </c>
      <c r="E73" t="s">
        <v>26</v>
      </c>
      <c r="F73" t="s">
        <v>141</v>
      </c>
      <c r="G73" t="s">
        <v>28</v>
      </c>
      <c r="H73">
        <v>3</v>
      </c>
      <c r="I73" s="1" t="s">
        <v>380</v>
      </c>
      <c r="J73" s="1" t="s">
        <v>390</v>
      </c>
      <c r="K73">
        <v>1052</v>
      </c>
      <c r="L73">
        <v>420</v>
      </c>
      <c r="M73">
        <v>362</v>
      </c>
      <c r="N73">
        <v>26</v>
      </c>
      <c r="O73">
        <v>3.77164626121521</v>
      </c>
      <c r="P73">
        <v>1</v>
      </c>
      <c r="Q73" t="s">
        <v>391</v>
      </c>
      <c r="R73">
        <v>0</v>
      </c>
      <c r="S73" t="s">
        <v>392</v>
      </c>
      <c r="T73">
        <v>1</v>
      </c>
      <c r="U73" t="s">
        <v>393</v>
      </c>
      <c r="V73" t="s">
        <v>285</v>
      </c>
    </row>
    <row r="74" spans="1:22" hidden="1" x14ac:dyDescent="0.2">
      <c r="A74" t="s">
        <v>22</v>
      </c>
      <c r="B74" t="s">
        <v>23</v>
      </c>
      <c r="C74" t="s">
        <v>24</v>
      </c>
      <c r="D74" t="s">
        <v>394</v>
      </c>
      <c r="E74" t="s">
        <v>395</v>
      </c>
      <c r="F74" t="s">
        <v>27</v>
      </c>
      <c r="G74" t="s">
        <v>28</v>
      </c>
      <c r="H74">
        <v>1</v>
      </c>
      <c r="I74" s="1" t="s">
        <v>396</v>
      </c>
      <c r="J74" s="1" t="s">
        <v>397</v>
      </c>
      <c r="K74">
        <v>1780</v>
      </c>
      <c r="L74">
        <v>611</v>
      </c>
      <c r="M74">
        <v>146</v>
      </c>
      <c r="N74">
        <v>88</v>
      </c>
      <c r="O74" s="2" t="s">
        <v>398</v>
      </c>
      <c r="P74">
        <v>1</v>
      </c>
      <c r="Q74" t="s">
        <v>399</v>
      </c>
      <c r="R74">
        <v>1</v>
      </c>
      <c r="S74" t="s">
        <v>400</v>
      </c>
      <c r="T74">
        <v>1</v>
      </c>
      <c r="U74" t="s">
        <v>45</v>
      </c>
      <c r="V74" t="s">
        <v>401</v>
      </c>
    </row>
    <row r="75" spans="1:22" hidden="1" x14ac:dyDescent="0.2">
      <c r="A75" t="s">
        <v>22</v>
      </c>
      <c r="B75" t="s">
        <v>23</v>
      </c>
      <c r="C75" t="s">
        <v>24</v>
      </c>
      <c r="D75" t="s">
        <v>394</v>
      </c>
      <c r="E75" t="s">
        <v>395</v>
      </c>
      <c r="F75" t="s">
        <v>27</v>
      </c>
      <c r="G75" t="s">
        <v>28</v>
      </c>
      <c r="H75">
        <v>2</v>
      </c>
      <c r="I75" s="1" t="s">
        <v>396</v>
      </c>
      <c r="J75" s="1" t="s">
        <v>402</v>
      </c>
      <c r="K75">
        <v>1780</v>
      </c>
      <c r="L75">
        <v>611</v>
      </c>
      <c r="M75">
        <v>131</v>
      </c>
      <c r="N75">
        <v>80</v>
      </c>
      <c r="O75" s="2" t="s">
        <v>403</v>
      </c>
      <c r="P75">
        <v>1</v>
      </c>
      <c r="Q75" t="s">
        <v>404</v>
      </c>
      <c r="R75">
        <v>1</v>
      </c>
      <c r="S75" t="s">
        <v>405</v>
      </c>
      <c r="T75">
        <v>1</v>
      </c>
      <c r="U75" t="s">
        <v>109</v>
      </c>
      <c r="V75" t="s">
        <v>401</v>
      </c>
    </row>
    <row r="76" spans="1:22" hidden="1" x14ac:dyDescent="0.2">
      <c r="A76" t="s">
        <v>22</v>
      </c>
      <c r="B76" t="s">
        <v>23</v>
      </c>
      <c r="C76" t="s">
        <v>24</v>
      </c>
      <c r="D76" t="s">
        <v>394</v>
      </c>
      <c r="E76" t="s">
        <v>395</v>
      </c>
      <c r="F76" t="s">
        <v>27</v>
      </c>
      <c r="G76" t="s">
        <v>28</v>
      </c>
      <c r="H76">
        <v>3</v>
      </c>
      <c r="I76" s="1" t="s">
        <v>396</v>
      </c>
      <c r="J76" s="1" t="s">
        <v>406</v>
      </c>
      <c r="K76">
        <v>1780</v>
      </c>
      <c r="L76">
        <v>611</v>
      </c>
      <c r="M76">
        <v>132</v>
      </c>
      <c r="N76">
        <v>82</v>
      </c>
      <c r="O76" s="2" t="s">
        <v>407</v>
      </c>
      <c r="P76">
        <v>1</v>
      </c>
      <c r="Q76" t="s">
        <v>408</v>
      </c>
      <c r="R76">
        <v>1</v>
      </c>
      <c r="S76" t="s">
        <v>409</v>
      </c>
      <c r="T76">
        <v>1</v>
      </c>
      <c r="U76" t="s">
        <v>410</v>
      </c>
      <c r="V76" t="s">
        <v>401</v>
      </c>
    </row>
    <row r="77" spans="1:22" hidden="1" x14ac:dyDescent="0.2">
      <c r="A77" t="s">
        <v>22</v>
      </c>
      <c r="B77" t="s">
        <v>23</v>
      </c>
      <c r="C77" t="s">
        <v>24</v>
      </c>
      <c r="D77" t="s">
        <v>394</v>
      </c>
      <c r="E77" t="s">
        <v>395</v>
      </c>
      <c r="F77" t="s">
        <v>46</v>
      </c>
      <c r="G77" t="s">
        <v>28</v>
      </c>
      <c r="H77">
        <v>1</v>
      </c>
      <c r="I77" s="1" t="s">
        <v>411</v>
      </c>
      <c r="J77" s="1" t="s">
        <v>412</v>
      </c>
      <c r="K77">
        <v>1808</v>
      </c>
      <c r="L77">
        <v>625</v>
      </c>
      <c r="M77">
        <v>205</v>
      </c>
      <c r="N77">
        <v>132</v>
      </c>
      <c r="O77" s="2" t="s">
        <v>413</v>
      </c>
      <c r="P77">
        <v>1</v>
      </c>
      <c r="Q77" t="s">
        <v>414</v>
      </c>
      <c r="R77">
        <v>1</v>
      </c>
      <c r="S77" t="s">
        <v>415</v>
      </c>
      <c r="T77">
        <v>1</v>
      </c>
      <c r="U77" t="s">
        <v>339</v>
      </c>
      <c r="V77" t="s">
        <v>401</v>
      </c>
    </row>
    <row r="78" spans="1:22" hidden="1" x14ac:dyDescent="0.2">
      <c r="A78" t="s">
        <v>22</v>
      </c>
      <c r="B78" t="s">
        <v>23</v>
      </c>
      <c r="C78" t="s">
        <v>24</v>
      </c>
      <c r="D78" t="s">
        <v>394</v>
      </c>
      <c r="E78" t="s">
        <v>395</v>
      </c>
      <c r="F78" t="s">
        <v>46</v>
      </c>
      <c r="G78" t="s">
        <v>28</v>
      </c>
      <c r="H78">
        <v>2</v>
      </c>
      <c r="I78" s="1" t="s">
        <v>411</v>
      </c>
      <c r="J78" s="1" t="s">
        <v>416</v>
      </c>
      <c r="K78">
        <v>1808</v>
      </c>
      <c r="L78">
        <v>625</v>
      </c>
      <c r="M78">
        <v>238</v>
      </c>
      <c r="N78">
        <v>151</v>
      </c>
      <c r="O78" s="2" t="s">
        <v>417</v>
      </c>
      <c r="P78">
        <v>1</v>
      </c>
      <c r="Q78" t="s">
        <v>418</v>
      </c>
      <c r="R78">
        <v>1</v>
      </c>
      <c r="S78" t="s">
        <v>419</v>
      </c>
      <c r="T78">
        <v>1</v>
      </c>
      <c r="U78" t="s">
        <v>420</v>
      </c>
      <c r="V78" t="s">
        <v>401</v>
      </c>
    </row>
    <row r="79" spans="1:22" hidden="1" x14ac:dyDescent="0.2">
      <c r="A79" t="s">
        <v>22</v>
      </c>
      <c r="B79" t="s">
        <v>23</v>
      </c>
      <c r="C79" t="s">
        <v>24</v>
      </c>
      <c r="D79" t="s">
        <v>394</v>
      </c>
      <c r="E79" t="s">
        <v>395</v>
      </c>
      <c r="F79" t="s">
        <v>46</v>
      </c>
      <c r="G79" t="s">
        <v>28</v>
      </c>
      <c r="H79">
        <v>3</v>
      </c>
      <c r="I79" s="1" t="s">
        <v>411</v>
      </c>
      <c r="J79" s="1" t="s">
        <v>421</v>
      </c>
      <c r="K79">
        <v>1808</v>
      </c>
      <c r="L79">
        <v>625</v>
      </c>
      <c r="M79">
        <v>202</v>
      </c>
      <c r="N79">
        <v>121</v>
      </c>
      <c r="O79" s="2" t="s">
        <v>422</v>
      </c>
      <c r="P79">
        <v>1</v>
      </c>
      <c r="Q79" t="s">
        <v>423</v>
      </c>
      <c r="R79">
        <v>1</v>
      </c>
      <c r="S79" t="s">
        <v>424</v>
      </c>
      <c r="T79">
        <v>1</v>
      </c>
      <c r="U79" t="s">
        <v>425</v>
      </c>
      <c r="V79" t="s">
        <v>401</v>
      </c>
    </row>
    <row r="80" spans="1:22" hidden="1" x14ac:dyDescent="0.2">
      <c r="A80" t="s">
        <v>22</v>
      </c>
      <c r="B80" t="s">
        <v>23</v>
      </c>
      <c r="C80" t="s">
        <v>24</v>
      </c>
      <c r="D80" t="s">
        <v>394</v>
      </c>
      <c r="E80" t="s">
        <v>395</v>
      </c>
      <c r="F80" t="s">
        <v>61</v>
      </c>
      <c r="G80" t="s">
        <v>28</v>
      </c>
      <c r="H80">
        <v>1</v>
      </c>
      <c r="I80" s="1" t="s">
        <v>426</v>
      </c>
      <c r="J80" s="1" t="s">
        <v>427</v>
      </c>
      <c r="K80">
        <v>1843</v>
      </c>
      <c r="L80">
        <v>647</v>
      </c>
      <c r="M80">
        <v>239</v>
      </c>
      <c r="N80">
        <v>139</v>
      </c>
      <c r="O80" s="2" t="s">
        <v>428</v>
      </c>
      <c r="P80">
        <v>1</v>
      </c>
      <c r="Q80" t="s">
        <v>429</v>
      </c>
      <c r="R80">
        <v>1</v>
      </c>
      <c r="S80" t="s">
        <v>430</v>
      </c>
      <c r="T80">
        <v>1</v>
      </c>
      <c r="U80" t="s">
        <v>431</v>
      </c>
      <c r="V80" t="s">
        <v>401</v>
      </c>
    </row>
    <row r="81" spans="1:22" hidden="1" x14ac:dyDescent="0.2">
      <c r="A81" t="s">
        <v>22</v>
      </c>
      <c r="B81" t="s">
        <v>23</v>
      </c>
      <c r="C81" t="s">
        <v>24</v>
      </c>
      <c r="D81" t="s">
        <v>394</v>
      </c>
      <c r="E81" t="s">
        <v>395</v>
      </c>
      <c r="F81" t="s">
        <v>61</v>
      </c>
      <c r="G81" t="s">
        <v>28</v>
      </c>
      <c r="H81">
        <v>2</v>
      </c>
      <c r="I81" s="1" t="s">
        <v>426</v>
      </c>
      <c r="J81" s="1" t="s">
        <v>432</v>
      </c>
      <c r="K81">
        <v>1843</v>
      </c>
      <c r="L81">
        <v>647</v>
      </c>
      <c r="M81">
        <v>208</v>
      </c>
      <c r="N81">
        <v>114</v>
      </c>
      <c r="O81" s="2" t="s">
        <v>433</v>
      </c>
      <c r="P81">
        <v>1</v>
      </c>
      <c r="Q81" t="s">
        <v>434</v>
      </c>
      <c r="R81">
        <v>1</v>
      </c>
      <c r="S81" t="s">
        <v>435</v>
      </c>
      <c r="T81">
        <v>1</v>
      </c>
      <c r="U81" t="s">
        <v>436</v>
      </c>
      <c r="V81" t="s">
        <v>401</v>
      </c>
    </row>
    <row r="82" spans="1:22" hidden="1" x14ac:dyDescent="0.2">
      <c r="A82" t="s">
        <v>22</v>
      </c>
      <c r="B82" t="s">
        <v>23</v>
      </c>
      <c r="C82" t="s">
        <v>24</v>
      </c>
      <c r="D82" t="s">
        <v>394</v>
      </c>
      <c r="E82" t="s">
        <v>395</v>
      </c>
      <c r="F82" t="s">
        <v>61</v>
      </c>
      <c r="G82" t="s">
        <v>28</v>
      </c>
      <c r="H82">
        <v>3</v>
      </c>
      <c r="I82" s="1" t="s">
        <v>426</v>
      </c>
      <c r="J82" s="1" t="s">
        <v>437</v>
      </c>
      <c r="K82">
        <v>1843</v>
      </c>
      <c r="L82">
        <v>647</v>
      </c>
      <c r="M82">
        <v>240</v>
      </c>
      <c r="N82">
        <v>138</v>
      </c>
      <c r="O82">
        <v>5.9507870674133301</v>
      </c>
      <c r="P82">
        <v>1</v>
      </c>
      <c r="Q82" t="s">
        <v>438</v>
      </c>
      <c r="R82">
        <v>1</v>
      </c>
      <c r="S82" t="s">
        <v>439</v>
      </c>
      <c r="T82">
        <v>1</v>
      </c>
      <c r="U82" t="s">
        <v>440</v>
      </c>
      <c r="V82" t="s">
        <v>401</v>
      </c>
    </row>
    <row r="83" spans="1:22" hidden="1" x14ac:dyDescent="0.2">
      <c r="A83" t="s">
        <v>76</v>
      </c>
      <c r="B83" t="s">
        <v>23</v>
      </c>
      <c r="C83" t="s">
        <v>24</v>
      </c>
      <c r="D83" t="s">
        <v>394</v>
      </c>
      <c r="E83" t="s">
        <v>395</v>
      </c>
      <c r="F83" t="s">
        <v>77</v>
      </c>
      <c r="G83" t="s">
        <v>28</v>
      </c>
      <c r="H83">
        <v>1</v>
      </c>
      <c r="I83" s="1" t="s">
        <v>426</v>
      </c>
      <c r="J83" s="1" t="s">
        <v>441</v>
      </c>
      <c r="K83">
        <v>1638</v>
      </c>
      <c r="L83">
        <v>647</v>
      </c>
      <c r="M83">
        <v>158</v>
      </c>
      <c r="N83">
        <v>99</v>
      </c>
      <c r="O83" s="2" t="s">
        <v>442</v>
      </c>
      <c r="P83">
        <v>1</v>
      </c>
      <c r="Q83" t="s">
        <v>443</v>
      </c>
      <c r="R83">
        <v>1</v>
      </c>
      <c r="S83" t="s">
        <v>444</v>
      </c>
      <c r="T83">
        <v>1</v>
      </c>
      <c r="U83" t="s">
        <v>393</v>
      </c>
      <c r="V83" t="s">
        <v>401</v>
      </c>
    </row>
    <row r="84" spans="1:22" hidden="1" x14ac:dyDescent="0.2">
      <c r="A84" t="s">
        <v>76</v>
      </c>
      <c r="B84" t="s">
        <v>23</v>
      </c>
      <c r="C84" t="s">
        <v>24</v>
      </c>
      <c r="D84" t="s">
        <v>394</v>
      </c>
      <c r="E84" t="s">
        <v>395</v>
      </c>
      <c r="F84" t="s">
        <v>77</v>
      </c>
      <c r="G84" t="s">
        <v>28</v>
      </c>
      <c r="H84">
        <v>2</v>
      </c>
      <c r="I84" s="1" t="s">
        <v>426</v>
      </c>
      <c r="J84" s="1" t="s">
        <v>445</v>
      </c>
      <c r="K84">
        <v>1638</v>
      </c>
      <c r="L84">
        <v>647</v>
      </c>
      <c r="M84">
        <v>150</v>
      </c>
      <c r="N84">
        <v>86</v>
      </c>
      <c r="O84" s="2" t="s">
        <v>446</v>
      </c>
      <c r="P84">
        <v>1</v>
      </c>
      <c r="Q84" t="s">
        <v>447</v>
      </c>
      <c r="R84">
        <v>1</v>
      </c>
      <c r="S84" t="s">
        <v>448</v>
      </c>
      <c r="T84">
        <v>1</v>
      </c>
      <c r="U84" t="s">
        <v>449</v>
      </c>
      <c r="V84" t="s">
        <v>401</v>
      </c>
    </row>
    <row r="85" spans="1:22" hidden="1" x14ac:dyDescent="0.2">
      <c r="A85" t="s">
        <v>76</v>
      </c>
      <c r="B85" t="s">
        <v>23</v>
      </c>
      <c r="C85" t="s">
        <v>24</v>
      </c>
      <c r="D85" t="s">
        <v>394</v>
      </c>
      <c r="E85" t="s">
        <v>395</v>
      </c>
      <c r="F85" t="s">
        <v>77</v>
      </c>
      <c r="G85" t="s">
        <v>28</v>
      </c>
      <c r="H85">
        <v>3</v>
      </c>
      <c r="I85" s="1" t="s">
        <v>426</v>
      </c>
      <c r="J85" s="1" t="s">
        <v>450</v>
      </c>
      <c r="K85">
        <v>1638</v>
      </c>
      <c r="L85">
        <v>647</v>
      </c>
      <c r="M85">
        <v>166</v>
      </c>
      <c r="N85">
        <v>105</v>
      </c>
      <c r="O85" s="2" t="s">
        <v>451</v>
      </c>
      <c r="P85">
        <v>1</v>
      </c>
      <c r="Q85" t="s">
        <v>452</v>
      </c>
      <c r="R85">
        <v>1</v>
      </c>
      <c r="S85" t="s">
        <v>453</v>
      </c>
      <c r="T85">
        <v>1</v>
      </c>
      <c r="U85" t="s">
        <v>454</v>
      </c>
      <c r="V85" t="s">
        <v>401</v>
      </c>
    </row>
    <row r="86" spans="1:22" hidden="1" x14ac:dyDescent="0.2">
      <c r="A86" t="s">
        <v>93</v>
      </c>
      <c r="B86" t="s">
        <v>23</v>
      </c>
      <c r="C86" t="s">
        <v>24</v>
      </c>
      <c r="D86" t="s">
        <v>394</v>
      </c>
      <c r="E86" t="s">
        <v>395</v>
      </c>
      <c r="F86" t="s">
        <v>94</v>
      </c>
      <c r="G86" t="s">
        <v>28</v>
      </c>
      <c r="H86">
        <v>1</v>
      </c>
      <c r="I86" s="1" t="s">
        <v>396</v>
      </c>
      <c r="J86" s="1" t="s">
        <v>455</v>
      </c>
      <c r="K86">
        <v>1582</v>
      </c>
      <c r="L86">
        <v>611</v>
      </c>
      <c r="M86">
        <v>121</v>
      </c>
      <c r="N86">
        <v>83</v>
      </c>
      <c r="O86" s="2" t="s">
        <v>456</v>
      </c>
      <c r="P86">
        <v>1</v>
      </c>
      <c r="Q86" t="s">
        <v>457</v>
      </c>
      <c r="R86">
        <v>1</v>
      </c>
      <c r="S86" t="s">
        <v>458</v>
      </c>
      <c r="T86">
        <v>1</v>
      </c>
      <c r="U86" t="s">
        <v>257</v>
      </c>
      <c r="V86" t="s">
        <v>401</v>
      </c>
    </row>
    <row r="87" spans="1:22" hidden="1" x14ac:dyDescent="0.2">
      <c r="A87" t="s">
        <v>93</v>
      </c>
      <c r="B87" t="s">
        <v>23</v>
      </c>
      <c r="C87" t="s">
        <v>24</v>
      </c>
      <c r="D87" t="s">
        <v>394</v>
      </c>
      <c r="E87" t="s">
        <v>395</v>
      </c>
      <c r="F87" t="s">
        <v>94</v>
      </c>
      <c r="G87" t="s">
        <v>28</v>
      </c>
      <c r="H87">
        <v>2</v>
      </c>
      <c r="I87" s="1" t="s">
        <v>396</v>
      </c>
      <c r="J87" s="1" t="s">
        <v>459</v>
      </c>
      <c r="K87">
        <v>1582</v>
      </c>
      <c r="L87">
        <v>611</v>
      </c>
      <c r="M87">
        <v>123</v>
      </c>
      <c r="N87">
        <v>79</v>
      </c>
      <c r="O87" s="2" t="s">
        <v>460</v>
      </c>
      <c r="P87">
        <v>1</v>
      </c>
      <c r="Q87" t="s">
        <v>461</v>
      </c>
      <c r="R87">
        <v>1</v>
      </c>
      <c r="S87" t="s">
        <v>462</v>
      </c>
      <c r="T87">
        <v>1</v>
      </c>
      <c r="U87" t="s">
        <v>463</v>
      </c>
      <c r="V87" t="s">
        <v>401</v>
      </c>
    </row>
    <row r="88" spans="1:22" hidden="1" x14ac:dyDescent="0.2">
      <c r="A88" t="s">
        <v>93</v>
      </c>
      <c r="B88" t="s">
        <v>23</v>
      </c>
      <c r="C88" t="s">
        <v>24</v>
      </c>
      <c r="D88" t="s">
        <v>394</v>
      </c>
      <c r="E88" t="s">
        <v>395</v>
      </c>
      <c r="F88" t="s">
        <v>94</v>
      </c>
      <c r="G88" t="s">
        <v>28</v>
      </c>
      <c r="H88">
        <v>3</v>
      </c>
      <c r="I88" s="1" t="s">
        <v>396</v>
      </c>
      <c r="J88" s="1" t="s">
        <v>464</v>
      </c>
      <c r="K88">
        <v>1582</v>
      </c>
      <c r="L88">
        <v>611</v>
      </c>
      <c r="M88">
        <v>103</v>
      </c>
      <c r="N88">
        <v>66</v>
      </c>
      <c r="O88" s="2" t="s">
        <v>465</v>
      </c>
      <c r="P88">
        <v>1</v>
      </c>
      <c r="Q88" t="s">
        <v>466</v>
      </c>
      <c r="R88">
        <v>0</v>
      </c>
      <c r="S88" t="s">
        <v>467</v>
      </c>
      <c r="T88">
        <v>1</v>
      </c>
      <c r="U88" t="s">
        <v>82</v>
      </c>
      <c r="V88" t="s">
        <v>401</v>
      </c>
    </row>
    <row r="89" spans="1:22" hidden="1" x14ac:dyDescent="0.2">
      <c r="A89" t="s">
        <v>93</v>
      </c>
      <c r="B89" t="s">
        <v>23</v>
      </c>
      <c r="C89" t="s">
        <v>24</v>
      </c>
      <c r="D89" t="s">
        <v>394</v>
      </c>
      <c r="E89" t="s">
        <v>395</v>
      </c>
      <c r="F89" t="s">
        <v>110</v>
      </c>
      <c r="G89" t="s">
        <v>28</v>
      </c>
      <c r="H89">
        <v>1</v>
      </c>
      <c r="I89" s="1" t="s">
        <v>411</v>
      </c>
      <c r="J89" s="1" t="s">
        <v>468</v>
      </c>
      <c r="K89">
        <v>1607</v>
      </c>
      <c r="L89">
        <v>625</v>
      </c>
      <c r="M89">
        <v>187</v>
      </c>
      <c r="N89">
        <v>129</v>
      </c>
      <c r="O89" s="2" t="s">
        <v>469</v>
      </c>
      <c r="P89">
        <v>1</v>
      </c>
      <c r="Q89" t="s">
        <v>470</v>
      </c>
      <c r="R89">
        <v>1</v>
      </c>
      <c r="S89" t="s">
        <v>471</v>
      </c>
      <c r="T89">
        <v>1</v>
      </c>
      <c r="U89" t="s">
        <v>472</v>
      </c>
      <c r="V89" t="s">
        <v>401</v>
      </c>
    </row>
    <row r="90" spans="1:22" hidden="1" x14ac:dyDescent="0.2">
      <c r="A90" t="s">
        <v>93</v>
      </c>
      <c r="B90" t="s">
        <v>23</v>
      </c>
      <c r="C90" t="s">
        <v>24</v>
      </c>
      <c r="D90" t="s">
        <v>394</v>
      </c>
      <c r="E90" t="s">
        <v>395</v>
      </c>
      <c r="F90" t="s">
        <v>110</v>
      </c>
      <c r="G90" t="s">
        <v>28</v>
      </c>
      <c r="H90">
        <v>2</v>
      </c>
      <c r="I90" s="1" t="s">
        <v>411</v>
      </c>
      <c r="J90" s="1" t="s">
        <v>473</v>
      </c>
      <c r="K90">
        <v>1607</v>
      </c>
      <c r="L90">
        <v>625</v>
      </c>
      <c r="M90">
        <v>156</v>
      </c>
      <c r="N90">
        <v>105</v>
      </c>
      <c r="O90" s="2" t="s">
        <v>474</v>
      </c>
      <c r="P90">
        <v>1</v>
      </c>
      <c r="Q90" t="s">
        <v>475</v>
      </c>
      <c r="R90">
        <v>1</v>
      </c>
      <c r="S90" t="s">
        <v>476</v>
      </c>
      <c r="T90">
        <v>1</v>
      </c>
      <c r="U90" t="s">
        <v>477</v>
      </c>
      <c r="V90" t="s">
        <v>401</v>
      </c>
    </row>
    <row r="91" spans="1:22" hidden="1" x14ac:dyDescent="0.2">
      <c r="A91" t="s">
        <v>93</v>
      </c>
      <c r="B91" t="s">
        <v>23</v>
      </c>
      <c r="C91" t="s">
        <v>24</v>
      </c>
      <c r="D91" t="s">
        <v>394</v>
      </c>
      <c r="E91" t="s">
        <v>395</v>
      </c>
      <c r="F91" t="s">
        <v>110</v>
      </c>
      <c r="G91" t="s">
        <v>28</v>
      </c>
      <c r="H91">
        <v>3</v>
      </c>
      <c r="I91" s="1" t="s">
        <v>411</v>
      </c>
      <c r="J91" s="1" t="s">
        <v>478</v>
      </c>
      <c r="K91">
        <v>1607</v>
      </c>
      <c r="L91">
        <v>625</v>
      </c>
      <c r="M91">
        <v>168</v>
      </c>
      <c r="N91">
        <v>116</v>
      </c>
      <c r="O91" s="2" t="s">
        <v>479</v>
      </c>
      <c r="P91">
        <v>1</v>
      </c>
      <c r="Q91" t="s">
        <v>480</v>
      </c>
      <c r="R91">
        <v>1</v>
      </c>
      <c r="S91" t="s">
        <v>481</v>
      </c>
      <c r="T91">
        <v>1</v>
      </c>
      <c r="U91" t="s">
        <v>482</v>
      </c>
      <c r="V91" t="s">
        <v>401</v>
      </c>
    </row>
    <row r="92" spans="1:22" hidden="1" x14ac:dyDescent="0.2">
      <c r="A92" t="s">
        <v>93</v>
      </c>
      <c r="B92" t="s">
        <v>23</v>
      </c>
      <c r="C92" t="s">
        <v>24</v>
      </c>
      <c r="D92" t="s">
        <v>394</v>
      </c>
      <c r="E92" t="s">
        <v>395</v>
      </c>
      <c r="F92" t="s">
        <v>125</v>
      </c>
      <c r="G92" t="s">
        <v>28</v>
      </c>
      <c r="H92">
        <v>1</v>
      </c>
      <c r="I92" s="1" t="s">
        <v>426</v>
      </c>
      <c r="J92" s="1" t="s">
        <v>483</v>
      </c>
      <c r="K92">
        <v>1638</v>
      </c>
      <c r="L92">
        <v>647</v>
      </c>
      <c r="M92">
        <v>216</v>
      </c>
      <c r="N92">
        <v>145</v>
      </c>
      <c r="O92" s="2" t="s">
        <v>484</v>
      </c>
      <c r="P92">
        <v>1</v>
      </c>
      <c r="Q92" t="s">
        <v>485</v>
      </c>
      <c r="R92">
        <v>1</v>
      </c>
      <c r="S92" t="s">
        <v>486</v>
      </c>
      <c r="T92">
        <v>1</v>
      </c>
      <c r="U92" t="s">
        <v>487</v>
      </c>
      <c r="V92" t="s">
        <v>401</v>
      </c>
    </row>
    <row r="93" spans="1:22" hidden="1" x14ac:dyDescent="0.2">
      <c r="A93" t="s">
        <v>93</v>
      </c>
      <c r="B93" t="s">
        <v>23</v>
      </c>
      <c r="C93" t="s">
        <v>24</v>
      </c>
      <c r="D93" t="s">
        <v>394</v>
      </c>
      <c r="E93" t="s">
        <v>395</v>
      </c>
      <c r="F93" t="s">
        <v>125</v>
      </c>
      <c r="G93" t="s">
        <v>28</v>
      </c>
      <c r="H93">
        <v>2</v>
      </c>
      <c r="I93" s="1" t="s">
        <v>426</v>
      </c>
      <c r="J93" s="1" t="s">
        <v>488</v>
      </c>
      <c r="K93">
        <v>1638</v>
      </c>
      <c r="L93">
        <v>647</v>
      </c>
      <c r="M93">
        <v>181</v>
      </c>
      <c r="N93">
        <v>123</v>
      </c>
      <c r="O93" s="2" t="s">
        <v>489</v>
      </c>
      <c r="P93">
        <v>1</v>
      </c>
      <c r="Q93" t="s">
        <v>490</v>
      </c>
      <c r="R93">
        <v>1</v>
      </c>
      <c r="S93" t="s">
        <v>491</v>
      </c>
      <c r="T93">
        <v>1</v>
      </c>
      <c r="U93" t="s">
        <v>492</v>
      </c>
      <c r="V93" t="s">
        <v>401</v>
      </c>
    </row>
    <row r="94" spans="1:22" hidden="1" x14ac:dyDescent="0.2">
      <c r="A94" t="s">
        <v>93</v>
      </c>
      <c r="B94" t="s">
        <v>23</v>
      </c>
      <c r="C94" t="s">
        <v>24</v>
      </c>
      <c r="D94" t="s">
        <v>394</v>
      </c>
      <c r="E94" t="s">
        <v>395</v>
      </c>
      <c r="F94" t="s">
        <v>125</v>
      </c>
      <c r="G94" t="s">
        <v>28</v>
      </c>
      <c r="H94">
        <v>3</v>
      </c>
      <c r="I94" s="1" t="s">
        <v>426</v>
      </c>
      <c r="J94" s="1" t="s">
        <v>493</v>
      </c>
      <c r="K94">
        <v>1638</v>
      </c>
      <c r="L94">
        <v>647</v>
      </c>
      <c r="M94">
        <v>216</v>
      </c>
      <c r="N94">
        <v>156</v>
      </c>
      <c r="O94" s="2" t="s">
        <v>494</v>
      </c>
      <c r="P94">
        <v>1</v>
      </c>
      <c r="Q94" t="s">
        <v>495</v>
      </c>
      <c r="R94">
        <v>1</v>
      </c>
      <c r="S94" t="s">
        <v>496</v>
      </c>
      <c r="T94">
        <v>1</v>
      </c>
      <c r="U94" t="s">
        <v>109</v>
      </c>
      <c r="V94" t="s">
        <v>401</v>
      </c>
    </row>
    <row r="95" spans="1:22" hidden="1" x14ac:dyDescent="0.2">
      <c r="A95" t="s">
        <v>140</v>
      </c>
      <c r="B95" t="s">
        <v>23</v>
      </c>
      <c r="C95" t="s">
        <v>24</v>
      </c>
      <c r="D95" t="s">
        <v>394</v>
      </c>
      <c r="E95" t="s">
        <v>395</v>
      </c>
      <c r="F95" t="s">
        <v>141</v>
      </c>
      <c r="G95" t="s">
        <v>28</v>
      </c>
      <c r="H95">
        <v>1</v>
      </c>
      <c r="I95" s="1" t="s">
        <v>497</v>
      </c>
      <c r="J95" t="s">
        <v>498</v>
      </c>
      <c r="K95">
        <v>1546</v>
      </c>
      <c r="L95">
        <v>596</v>
      </c>
      <c r="M95">
        <v>237</v>
      </c>
      <c r="N95">
        <v>27</v>
      </c>
      <c r="O95" s="2" t="s">
        <v>499</v>
      </c>
      <c r="P95">
        <v>1</v>
      </c>
      <c r="Q95" t="s">
        <v>500</v>
      </c>
      <c r="R95">
        <v>1</v>
      </c>
      <c r="S95" t="s">
        <v>501</v>
      </c>
      <c r="T95">
        <v>1</v>
      </c>
      <c r="U95" t="s">
        <v>147</v>
      </c>
      <c r="V95" t="s">
        <v>401</v>
      </c>
    </row>
    <row r="96" spans="1:22" hidden="1" x14ac:dyDescent="0.2">
      <c r="A96" t="s">
        <v>140</v>
      </c>
      <c r="B96" t="s">
        <v>23</v>
      </c>
      <c r="C96" t="s">
        <v>24</v>
      </c>
      <c r="D96" t="s">
        <v>394</v>
      </c>
      <c r="E96" t="s">
        <v>395</v>
      </c>
      <c r="F96" t="s">
        <v>141</v>
      </c>
      <c r="G96" t="s">
        <v>28</v>
      </c>
      <c r="H96">
        <v>2</v>
      </c>
      <c r="I96" s="1" t="s">
        <v>497</v>
      </c>
      <c r="J96" s="1" t="s">
        <v>502</v>
      </c>
      <c r="K96">
        <v>1546</v>
      </c>
      <c r="L96">
        <v>596</v>
      </c>
      <c r="M96">
        <v>568</v>
      </c>
      <c r="N96">
        <v>26</v>
      </c>
      <c r="O96" s="2" t="s">
        <v>503</v>
      </c>
      <c r="P96">
        <v>1</v>
      </c>
      <c r="Q96" t="s">
        <v>504</v>
      </c>
      <c r="R96">
        <v>1</v>
      </c>
      <c r="S96" t="s">
        <v>505</v>
      </c>
      <c r="T96">
        <v>1</v>
      </c>
      <c r="U96" t="s">
        <v>506</v>
      </c>
      <c r="V96" t="s">
        <v>401</v>
      </c>
    </row>
    <row r="97" spans="1:22" hidden="1" x14ac:dyDescent="0.2">
      <c r="A97" t="s">
        <v>140</v>
      </c>
      <c r="B97" t="s">
        <v>23</v>
      </c>
      <c r="C97" t="s">
        <v>24</v>
      </c>
      <c r="D97" t="s">
        <v>394</v>
      </c>
      <c r="E97" t="s">
        <v>395</v>
      </c>
      <c r="F97" t="s">
        <v>141</v>
      </c>
      <c r="G97" t="s">
        <v>28</v>
      </c>
      <c r="H97">
        <v>3</v>
      </c>
      <c r="I97" s="1" t="s">
        <v>497</v>
      </c>
      <c r="J97" t="s">
        <v>507</v>
      </c>
      <c r="K97">
        <v>1546</v>
      </c>
      <c r="L97">
        <v>596</v>
      </c>
      <c r="M97">
        <v>626</v>
      </c>
      <c r="N97">
        <v>33</v>
      </c>
      <c r="O97" s="2" t="s">
        <v>508</v>
      </c>
      <c r="P97">
        <v>1</v>
      </c>
      <c r="Q97" t="s">
        <v>509</v>
      </c>
      <c r="R97">
        <v>1</v>
      </c>
      <c r="S97" t="s">
        <v>510</v>
      </c>
      <c r="T97">
        <v>1</v>
      </c>
      <c r="U97" t="s">
        <v>511</v>
      </c>
      <c r="V97" t="s">
        <v>401</v>
      </c>
    </row>
    <row r="98" spans="1:22" hidden="1" x14ac:dyDescent="0.2">
      <c r="A98" t="s">
        <v>22</v>
      </c>
      <c r="B98" t="s">
        <v>23</v>
      </c>
      <c r="C98" t="s">
        <v>24</v>
      </c>
      <c r="D98" t="s">
        <v>512</v>
      </c>
      <c r="E98" t="s">
        <v>395</v>
      </c>
      <c r="F98" t="s">
        <v>27</v>
      </c>
      <c r="G98" t="s">
        <v>28</v>
      </c>
      <c r="H98">
        <v>1</v>
      </c>
      <c r="I98" s="1" t="s">
        <v>513</v>
      </c>
      <c r="J98" s="1" t="s">
        <v>514</v>
      </c>
      <c r="K98">
        <v>1817</v>
      </c>
      <c r="L98">
        <v>603</v>
      </c>
      <c r="M98">
        <v>147</v>
      </c>
      <c r="N98">
        <v>79</v>
      </c>
      <c r="O98" s="2" t="s">
        <v>515</v>
      </c>
      <c r="P98">
        <v>1</v>
      </c>
      <c r="Q98" t="s">
        <v>516</v>
      </c>
      <c r="R98">
        <v>1</v>
      </c>
      <c r="S98" t="s">
        <v>517</v>
      </c>
      <c r="T98">
        <v>1</v>
      </c>
      <c r="U98" t="s">
        <v>518</v>
      </c>
      <c r="V98" t="s">
        <v>519</v>
      </c>
    </row>
    <row r="99" spans="1:22" hidden="1" x14ac:dyDescent="0.2">
      <c r="A99" t="s">
        <v>22</v>
      </c>
      <c r="B99" t="s">
        <v>23</v>
      </c>
      <c r="C99" t="s">
        <v>24</v>
      </c>
      <c r="D99" t="s">
        <v>512</v>
      </c>
      <c r="E99" t="s">
        <v>395</v>
      </c>
      <c r="F99" t="s">
        <v>27</v>
      </c>
      <c r="G99" t="s">
        <v>28</v>
      </c>
      <c r="H99">
        <v>2</v>
      </c>
      <c r="I99" s="1" t="s">
        <v>513</v>
      </c>
      <c r="J99" s="1" t="s">
        <v>520</v>
      </c>
      <c r="K99">
        <v>1817</v>
      </c>
      <c r="L99">
        <v>603</v>
      </c>
      <c r="M99">
        <v>153</v>
      </c>
      <c r="N99">
        <v>80</v>
      </c>
      <c r="O99" s="2" t="s">
        <v>521</v>
      </c>
      <c r="P99">
        <v>1</v>
      </c>
      <c r="Q99" t="s">
        <v>522</v>
      </c>
      <c r="R99">
        <v>1</v>
      </c>
      <c r="S99" t="s">
        <v>523</v>
      </c>
      <c r="T99">
        <v>1</v>
      </c>
      <c r="U99" t="s">
        <v>524</v>
      </c>
      <c r="V99" t="s">
        <v>519</v>
      </c>
    </row>
    <row r="100" spans="1:22" hidden="1" x14ac:dyDescent="0.2">
      <c r="A100" t="s">
        <v>22</v>
      </c>
      <c r="B100" t="s">
        <v>23</v>
      </c>
      <c r="C100" t="s">
        <v>24</v>
      </c>
      <c r="D100" t="s">
        <v>512</v>
      </c>
      <c r="E100" t="s">
        <v>395</v>
      </c>
      <c r="F100" t="s">
        <v>27</v>
      </c>
      <c r="G100" t="s">
        <v>28</v>
      </c>
      <c r="H100">
        <v>3</v>
      </c>
      <c r="I100" s="1" t="s">
        <v>513</v>
      </c>
      <c r="J100" s="1" t="s">
        <v>525</v>
      </c>
      <c r="K100">
        <v>1817</v>
      </c>
      <c r="L100">
        <v>603</v>
      </c>
      <c r="M100">
        <v>142</v>
      </c>
      <c r="N100">
        <v>80</v>
      </c>
      <c r="O100" s="2" t="s">
        <v>526</v>
      </c>
      <c r="P100">
        <v>1</v>
      </c>
      <c r="Q100" t="s">
        <v>527</v>
      </c>
      <c r="R100">
        <v>1</v>
      </c>
      <c r="S100" t="s">
        <v>528</v>
      </c>
      <c r="T100">
        <v>1</v>
      </c>
      <c r="U100" t="s">
        <v>529</v>
      </c>
      <c r="V100" t="s">
        <v>519</v>
      </c>
    </row>
    <row r="101" spans="1:22" hidden="1" x14ac:dyDescent="0.2">
      <c r="A101" t="s">
        <v>22</v>
      </c>
      <c r="B101" t="s">
        <v>23</v>
      </c>
      <c r="C101" t="s">
        <v>24</v>
      </c>
      <c r="D101" t="s">
        <v>512</v>
      </c>
      <c r="E101" t="s">
        <v>395</v>
      </c>
      <c r="F101" t="s">
        <v>46</v>
      </c>
      <c r="G101" t="s">
        <v>28</v>
      </c>
      <c r="H101">
        <v>1</v>
      </c>
      <c r="I101" s="1" t="s">
        <v>530</v>
      </c>
      <c r="J101" s="1" t="s">
        <v>531</v>
      </c>
      <c r="K101">
        <v>1845</v>
      </c>
      <c r="L101">
        <v>617</v>
      </c>
      <c r="M101">
        <v>212</v>
      </c>
      <c r="N101">
        <v>125</v>
      </c>
      <c r="O101" s="2" t="s">
        <v>532</v>
      </c>
      <c r="P101">
        <v>1</v>
      </c>
      <c r="Q101" t="s">
        <v>533</v>
      </c>
      <c r="R101">
        <v>1</v>
      </c>
      <c r="S101" t="s">
        <v>534</v>
      </c>
      <c r="T101">
        <v>1</v>
      </c>
      <c r="U101" t="s">
        <v>535</v>
      </c>
      <c r="V101" t="s">
        <v>519</v>
      </c>
    </row>
    <row r="102" spans="1:22" hidden="1" x14ac:dyDescent="0.2">
      <c r="A102" t="s">
        <v>22</v>
      </c>
      <c r="B102" t="s">
        <v>23</v>
      </c>
      <c r="C102" t="s">
        <v>24</v>
      </c>
      <c r="D102" t="s">
        <v>512</v>
      </c>
      <c r="E102" t="s">
        <v>395</v>
      </c>
      <c r="F102" t="s">
        <v>46</v>
      </c>
      <c r="G102" t="s">
        <v>28</v>
      </c>
      <c r="H102">
        <v>2</v>
      </c>
      <c r="I102" s="1" t="s">
        <v>530</v>
      </c>
      <c r="J102" s="1" t="s">
        <v>536</v>
      </c>
      <c r="K102">
        <v>1845</v>
      </c>
      <c r="L102">
        <v>617</v>
      </c>
      <c r="M102">
        <v>230</v>
      </c>
      <c r="N102">
        <v>152</v>
      </c>
      <c r="O102" s="2" t="s">
        <v>537</v>
      </c>
      <c r="P102">
        <v>1</v>
      </c>
      <c r="Q102" t="s">
        <v>538</v>
      </c>
      <c r="R102">
        <v>1</v>
      </c>
      <c r="S102" t="s">
        <v>539</v>
      </c>
      <c r="T102">
        <v>1</v>
      </c>
      <c r="U102" t="s">
        <v>540</v>
      </c>
      <c r="V102" t="s">
        <v>519</v>
      </c>
    </row>
    <row r="103" spans="1:22" hidden="1" x14ac:dyDescent="0.2">
      <c r="A103" t="s">
        <v>22</v>
      </c>
      <c r="B103" t="s">
        <v>23</v>
      </c>
      <c r="C103" t="s">
        <v>24</v>
      </c>
      <c r="D103" t="s">
        <v>512</v>
      </c>
      <c r="E103" t="s">
        <v>395</v>
      </c>
      <c r="F103" t="s">
        <v>46</v>
      </c>
      <c r="G103" t="s">
        <v>28</v>
      </c>
      <c r="H103">
        <v>3</v>
      </c>
      <c r="I103" s="1" t="s">
        <v>530</v>
      </c>
      <c r="J103" s="1" t="s">
        <v>541</v>
      </c>
      <c r="K103">
        <v>1845</v>
      </c>
      <c r="L103">
        <v>617</v>
      </c>
      <c r="M103">
        <v>217</v>
      </c>
      <c r="N103">
        <v>126</v>
      </c>
      <c r="O103" s="2" t="s">
        <v>542</v>
      </c>
      <c r="P103">
        <v>1</v>
      </c>
      <c r="Q103" t="s">
        <v>543</v>
      </c>
      <c r="R103">
        <v>1</v>
      </c>
      <c r="S103" t="s">
        <v>544</v>
      </c>
      <c r="T103">
        <v>1</v>
      </c>
      <c r="U103" t="s">
        <v>545</v>
      </c>
      <c r="V103" t="s">
        <v>519</v>
      </c>
    </row>
    <row r="104" spans="1:22" hidden="1" x14ac:dyDescent="0.2">
      <c r="A104" t="s">
        <v>22</v>
      </c>
      <c r="B104" t="s">
        <v>23</v>
      </c>
      <c r="C104" t="s">
        <v>24</v>
      </c>
      <c r="D104" t="s">
        <v>512</v>
      </c>
      <c r="E104" t="s">
        <v>395</v>
      </c>
      <c r="F104" t="s">
        <v>61</v>
      </c>
      <c r="G104" t="s">
        <v>28</v>
      </c>
      <c r="H104">
        <v>1</v>
      </c>
      <c r="I104" s="1" t="s">
        <v>546</v>
      </c>
      <c r="J104" s="1" t="s">
        <v>547</v>
      </c>
      <c r="K104">
        <v>1880</v>
      </c>
      <c r="L104">
        <v>639</v>
      </c>
      <c r="M104">
        <v>212</v>
      </c>
      <c r="N104">
        <v>122</v>
      </c>
      <c r="O104" s="2" t="s">
        <v>548</v>
      </c>
      <c r="P104">
        <v>1</v>
      </c>
      <c r="Q104" t="s">
        <v>549</v>
      </c>
      <c r="R104">
        <v>1</v>
      </c>
      <c r="S104" t="s">
        <v>550</v>
      </c>
      <c r="T104">
        <v>1</v>
      </c>
      <c r="U104" t="s">
        <v>551</v>
      </c>
      <c r="V104" t="s">
        <v>519</v>
      </c>
    </row>
    <row r="105" spans="1:22" hidden="1" x14ac:dyDescent="0.2">
      <c r="A105" t="s">
        <v>22</v>
      </c>
      <c r="B105" t="s">
        <v>23</v>
      </c>
      <c r="C105" t="s">
        <v>24</v>
      </c>
      <c r="D105" t="s">
        <v>512</v>
      </c>
      <c r="E105" t="s">
        <v>395</v>
      </c>
      <c r="F105" t="s">
        <v>61</v>
      </c>
      <c r="G105" t="s">
        <v>28</v>
      </c>
      <c r="H105">
        <v>2</v>
      </c>
      <c r="I105" s="1" t="s">
        <v>546</v>
      </c>
      <c r="J105" s="1" t="s">
        <v>552</v>
      </c>
      <c r="K105">
        <v>1880</v>
      </c>
      <c r="L105">
        <v>639</v>
      </c>
      <c r="M105">
        <v>216</v>
      </c>
      <c r="N105">
        <v>127</v>
      </c>
      <c r="O105" s="2" t="s">
        <v>553</v>
      </c>
      <c r="P105">
        <v>1</v>
      </c>
      <c r="Q105" t="s">
        <v>554</v>
      </c>
      <c r="R105">
        <v>1</v>
      </c>
      <c r="S105" t="s">
        <v>555</v>
      </c>
      <c r="T105">
        <v>1</v>
      </c>
      <c r="U105" t="s">
        <v>109</v>
      </c>
      <c r="V105" t="s">
        <v>519</v>
      </c>
    </row>
    <row r="106" spans="1:22" hidden="1" x14ac:dyDescent="0.2">
      <c r="A106" t="s">
        <v>22</v>
      </c>
      <c r="B106" t="s">
        <v>23</v>
      </c>
      <c r="C106" t="s">
        <v>24</v>
      </c>
      <c r="D106" t="s">
        <v>512</v>
      </c>
      <c r="E106" t="s">
        <v>395</v>
      </c>
      <c r="F106" t="s">
        <v>61</v>
      </c>
      <c r="G106" t="s">
        <v>28</v>
      </c>
      <c r="H106">
        <v>3</v>
      </c>
      <c r="I106" s="1" t="s">
        <v>546</v>
      </c>
      <c r="J106" s="1" t="s">
        <v>556</v>
      </c>
      <c r="K106">
        <v>1880</v>
      </c>
      <c r="L106">
        <v>639</v>
      </c>
      <c r="M106">
        <v>210</v>
      </c>
      <c r="N106">
        <v>118</v>
      </c>
      <c r="O106">
        <v>5.7380661964416504</v>
      </c>
      <c r="P106">
        <v>1</v>
      </c>
      <c r="Q106" t="s">
        <v>557</v>
      </c>
      <c r="R106">
        <v>0</v>
      </c>
      <c r="S106" t="s">
        <v>558</v>
      </c>
      <c r="T106">
        <v>1</v>
      </c>
      <c r="U106" t="s">
        <v>559</v>
      </c>
      <c r="V106" t="s">
        <v>519</v>
      </c>
    </row>
    <row r="107" spans="1:22" hidden="1" x14ac:dyDescent="0.2">
      <c r="A107" t="s">
        <v>76</v>
      </c>
      <c r="B107" t="s">
        <v>23</v>
      </c>
      <c r="C107" t="s">
        <v>24</v>
      </c>
      <c r="D107" t="s">
        <v>512</v>
      </c>
      <c r="E107" t="s">
        <v>395</v>
      </c>
      <c r="F107" t="s">
        <v>77</v>
      </c>
      <c r="G107" t="s">
        <v>28</v>
      </c>
      <c r="H107">
        <v>1</v>
      </c>
      <c r="I107" s="1" t="s">
        <v>546</v>
      </c>
      <c r="J107" s="1" t="s">
        <v>560</v>
      </c>
      <c r="K107">
        <v>1654</v>
      </c>
      <c r="L107">
        <v>639</v>
      </c>
      <c r="M107">
        <v>146</v>
      </c>
      <c r="N107">
        <v>88</v>
      </c>
      <c r="O107" s="2" t="s">
        <v>561</v>
      </c>
      <c r="P107">
        <v>1</v>
      </c>
      <c r="Q107" t="s">
        <v>562</v>
      </c>
      <c r="R107">
        <v>1</v>
      </c>
      <c r="S107" t="s">
        <v>563</v>
      </c>
      <c r="T107">
        <v>1</v>
      </c>
      <c r="U107" t="s">
        <v>227</v>
      </c>
      <c r="V107" t="s">
        <v>519</v>
      </c>
    </row>
    <row r="108" spans="1:22" hidden="1" x14ac:dyDescent="0.2">
      <c r="A108" t="s">
        <v>76</v>
      </c>
      <c r="B108" t="s">
        <v>23</v>
      </c>
      <c r="C108" t="s">
        <v>24</v>
      </c>
      <c r="D108" t="s">
        <v>512</v>
      </c>
      <c r="E108" t="s">
        <v>395</v>
      </c>
      <c r="F108" t="s">
        <v>77</v>
      </c>
      <c r="G108" t="s">
        <v>28</v>
      </c>
      <c r="H108">
        <v>2</v>
      </c>
      <c r="I108" s="1" t="s">
        <v>546</v>
      </c>
      <c r="J108" s="1" t="s">
        <v>564</v>
      </c>
      <c r="K108">
        <v>1654</v>
      </c>
      <c r="L108">
        <v>639</v>
      </c>
      <c r="M108">
        <v>161</v>
      </c>
      <c r="N108">
        <v>106</v>
      </c>
      <c r="O108" s="2" t="s">
        <v>565</v>
      </c>
      <c r="P108">
        <v>1</v>
      </c>
      <c r="Q108" t="s">
        <v>566</v>
      </c>
      <c r="R108">
        <v>0</v>
      </c>
      <c r="S108" t="s">
        <v>567</v>
      </c>
      <c r="T108">
        <v>1</v>
      </c>
      <c r="U108" t="s">
        <v>568</v>
      </c>
      <c r="V108" t="s">
        <v>519</v>
      </c>
    </row>
    <row r="109" spans="1:22" hidden="1" x14ac:dyDescent="0.2">
      <c r="A109" t="s">
        <v>76</v>
      </c>
      <c r="B109" t="s">
        <v>23</v>
      </c>
      <c r="C109" t="s">
        <v>24</v>
      </c>
      <c r="D109" t="s">
        <v>512</v>
      </c>
      <c r="E109" t="s">
        <v>395</v>
      </c>
      <c r="F109" t="s">
        <v>77</v>
      </c>
      <c r="G109" t="s">
        <v>28</v>
      </c>
      <c r="H109">
        <v>3</v>
      </c>
      <c r="I109" s="1" t="s">
        <v>546</v>
      </c>
      <c r="J109" s="1" t="s">
        <v>569</v>
      </c>
      <c r="K109">
        <v>1654</v>
      </c>
      <c r="L109">
        <v>639</v>
      </c>
      <c r="M109">
        <v>187</v>
      </c>
      <c r="N109">
        <v>127</v>
      </c>
      <c r="O109" s="2" t="s">
        <v>570</v>
      </c>
      <c r="P109">
        <v>1</v>
      </c>
      <c r="Q109" t="s">
        <v>571</v>
      </c>
      <c r="R109">
        <v>1</v>
      </c>
      <c r="S109" t="s">
        <v>572</v>
      </c>
      <c r="T109">
        <v>1</v>
      </c>
      <c r="U109" t="s">
        <v>573</v>
      </c>
      <c r="V109" t="s">
        <v>519</v>
      </c>
    </row>
    <row r="110" spans="1:22" hidden="1" x14ac:dyDescent="0.2">
      <c r="A110" t="s">
        <v>93</v>
      </c>
      <c r="B110" t="s">
        <v>23</v>
      </c>
      <c r="C110" t="s">
        <v>24</v>
      </c>
      <c r="D110" t="s">
        <v>512</v>
      </c>
      <c r="E110" t="s">
        <v>395</v>
      </c>
      <c r="F110" t="s">
        <v>94</v>
      </c>
      <c r="G110" t="s">
        <v>28</v>
      </c>
      <c r="H110">
        <v>1</v>
      </c>
      <c r="I110" s="1" t="s">
        <v>513</v>
      </c>
      <c r="J110" s="1" t="s">
        <v>574</v>
      </c>
      <c r="K110">
        <v>1598</v>
      </c>
      <c r="L110">
        <v>603</v>
      </c>
      <c r="M110">
        <v>106</v>
      </c>
      <c r="N110">
        <v>67</v>
      </c>
      <c r="O110" s="2" t="s">
        <v>575</v>
      </c>
      <c r="P110">
        <v>1</v>
      </c>
      <c r="Q110" t="s">
        <v>576</v>
      </c>
      <c r="R110">
        <v>0</v>
      </c>
      <c r="S110" t="s">
        <v>577</v>
      </c>
      <c r="T110">
        <v>1</v>
      </c>
      <c r="U110" t="s">
        <v>104</v>
      </c>
      <c r="V110" t="s">
        <v>519</v>
      </c>
    </row>
    <row r="111" spans="1:22" hidden="1" x14ac:dyDescent="0.2">
      <c r="A111" t="s">
        <v>93</v>
      </c>
      <c r="B111" t="s">
        <v>23</v>
      </c>
      <c r="C111" t="s">
        <v>24</v>
      </c>
      <c r="D111" t="s">
        <v>512</v>
      </c>
      <c r="E111" t="s">
        <v>395</v>
      </c>
      <c r="F111" t="s">
        <v>94</v>
      </c>
      <c r="G111" t="s">
        <v>28</v>
      </c>
      <c r="H111">
        <v>2</v>
      </c>
      <c r="I111" s="1" t="s">
        <v>513</v>
      </c>
      <c r="J111" s="1" t="s">
        <v>578</v>
      </c>
      <c r="K111">
        <v>1598</v>
      </c>
      <c r="L111">
        <v>603</v>
      </c>
      <c r="M111">
        <v>91</v>
      </c>
      <c r="N111">
        <v>56</v>
      </c>
      <c r="O111" s="2" t="s">
        <v>579</v>
      </c>
      <c r="P111">
        <v>1</v>
      </c>
      <c r="Q111" t="s">
        <v>580</v>
      </c>
      <c r="R111">
        <v>1</v>
      </c>
      <c r="S111" t="s">
        <v>581</v>
      </c>
      <c r="T111">
        <v>1</v>
      </c>
      <c r="U111" t="s">
        <v>582</v>
      </c>
      <c r="V111" t="s">
        <v>519</v>
      </c>
    </row>
    <row r="112" spans="1:22" hidden="1" x14ac:dyDescent="0.2">
      <c r="A112" t="s">
        <v>93</v>
      </c>
      <c r="B112" t="s">
        <v>23</v>
      </c>
      <c r="C112" t="s">
        <v>24</v>
      </c>
      <c r="D112" t="s">
        <v>512</v>
      </c>
      <c r="E112" t="s">
        <v>395</v>
      </c>
      <c r="F112" t="s">
        <v>94</v>
      </c>
      <c r="G112" t="s">
        <v>28</v>
      </c>
      <c r="H112">
        <v>3</v>
      </c>
      <c r="I112" s="1" t="s">
        <v>513</v>
      </c>
      <c r="J112" s="1" t="s">
        <v>583</v>
      </c>
      <c r="K112">
        <v>1598</v>
      </c>
      <c r="L112">
        <v>603</v>
      </c>
      <c r="M112">
        <v>106</v>
      </c>
      <c r="N112">
        <v>72</v>
      </c>
      <c r="O112" s="2" t="s">
        <v>584</v>
      </c>
      <c r="P112">
        <v>1</v>
      </c>
      <c r="Q112" t="s">
        <v>585</v>
      </c>
      <c r="R112">
        <v>1</v>
      </c>
      <c r="S112" t="s">
        <v>586</v>
      </c>
      <c r="T112">
        <v>1</v>
      </c>
      <c r="U112" t="s">
        <v>587</v>
      </c>
      <c r="V112" t="s">
        <v>519</v>
      </c>
    </row>
    <row r="113" spans="1:22" hidden="1" x14ac:dyDescent="0.2">
      <c r="A113" t="s">
        <v>93</v>
      </c>
      <c r="B113" t="s">
        <v>23</v>
      </c>
      <c r="C113" t="s">
        <v>24</v>
      </c>
      <c r="D113" t="s">
        <v>512</v>
      </c>
      <c r="E113" t="s">
        <v>395</v>
      </c>
      <c r="F113" t="s">
        <v>110</v>
      </c>
      <c r="G113" t="s">
        <v>28</v>
      </c>
      <c r="H113">
        <v>1</v>
      </c>
      <c r="I113" s="1" t="s">
        <v>530</v>
      </c>
      <c r="J113" s="1" t="s">
        <v>588</v>
      </c>
      <c r="K113">
        <v>1623</v>
      </c>
      <c r="L113">
        <v>617</v>
      </c>
      <c r="M113">
        <v>172</v>
      </c>
      <c r="N113">
        <v>110</v>
      </c>
      <c r="O113" s="2" t="s">
        <v>589</v>
      </c>
      <c r="P113">
        <v>1</v>
      </c>
      <c r="Q113" t="s">
        <v>590</v>
      </c>
      <c r="R113">
        <v>1</v>
      </c>
      <c r="S113" t="s">
        <v>591</v>
      </c>
      <c r="T113">
        <v>1</v>
      </c>
      <c r="U113" t="s">
        <v>592</v>
      </c>
      <c r="V113" t="s">
        <v>519</v>
      </c>
    </row>
    <row r="114" spans="1:22" hidden="1" x14ac:dyDescent="0.2">
      <c r="A114" t="s">
        <v>93</v>
      </c>
      <c r="B114" t="s">
        <v>23</v>
      </c>
      <c r="C114" t="s">
        <v>24</v>
      </c>
      <c r="D114" t="s">
        <v>512</v>
      </c>
      <c r="E114" t="s">
        <v>395</v>
      </c>
      <c r="F114" t="s">
        <v>110</v>
      </c>
      <c r="G114" t="s">
        <v>28</v>
      </c>
      <c r="H114">
        <v>2</v>
      </c>
      <c r="I114" s="1" t="s">
        <v>530</v>
      </c>
      <c r="J114" s="1" t="s">
        <v>593</v>
      </c>
      <c r="K114">
        <v>1623</v>
      </c>
      <c r="L114">
        <v>617</v>
      </c>
      <c r="M114">
        <v>184</v>
      </c>
      <c r="N114">
        <v>132</v>
      </c>
      <c r="O114" s="2" t="s">
        <v>594</v>
      </c>
      <c r="P114">
        <v>1</v>
      </c>
      <c r="Q114" t="s">
        <v>595</v>
      </c>
      <c r="R114">
        <v>1</v>
      </c>
      <c r="S114" t="s">
        <v>596</v>
      </c>
      <c r="T114">
        <v>1</v>
      </c>
      <c r="U114" t="s">
        <v>325</v>
      </c>
      <c r="V114" t="s">
        <v>519</v>
      </c>
    </row>
    <row r="115" spans="1:22" hidden="1" x14ac:dyDescent="0.2">
      <c r="A115" t="s">
        <v>93</v>
      </c>
      <c r="B115" t="s">
        <v>23</v>
      </c>
      <c r="C115" t="s">
        <v>24</v>
      </c>
      <c r="D115" t="s">
        <v>512</v>
      </c>
      <c r="E115" t="s">
        <v>395</v>
      </c>
      <c r="F115" t="s">
        <v>110</v>
      </c>
      <c r="G115" t="s">
        <v>28</v>
      </c>
      <c r="H115">
        <v>3</v>
      </c>
      <c r="I115" s="1" t="s">
        <v>530</v>
      </c>
      <c r="J115" s="1" t="s">
        <v>597</v>
      </c>
      <c r="K115">
        <v>1623</v>
      </c>
      <c r="L115">
        <v>617</v>
      </c>
      <c r="M115">
        <v>197</v>
      </c>
      <c r="N115">
        <v>145</v>
      </c>
      <c r="O115" s="2" t="s">
        <v>598</v>
      </c>
      <c r="P115">
        <v>1</v>
      </c>
      <c r="Q115" t="s">
        <v>599</v>
      </c>
      <c r="R115">
        <v>1</v>
      </c>
      <c r="S115" t="s">
        <v>600</v>
      </c>
      <c r="T115">
        <v>1</v>
      </c>
      <c r="U115" t="s">
        <v>601</v>
      </c>
      <c r="V115" t="s">
        <v>519</v>
      </c>
    </row>
    <row r="116" spans="1:22" hidden="1" x14ac:dyDescent="0.2">
      <c r="A116" t="s">
        <v>93</v>
      </c>
      <c r="B116" t="s">
        <v>23</v>
      </c>
      <c r="C116" t="s">
        <v>24</v>
      </c>
      <c r="D116" t="s">
        <v>512</v>
      </c>
      <c r="E116" t="s">
        <v>395</v>
      </c>
      <c r="F116" t="s">
        <v>125</v>
      </c>
      <c r="G116" t="s">
        <v>28</v>
      </c>
      <c r="H116">
        <v>1</v>
      </c>
      <c r="I116" s="1" t="s">
        <v>546</v>
      </c>
      <c r="J116" s="1" t="s">
        <v>602</v>
      </c>
      <c r="K116">
        <v>1654</v>
      </c>
      <c r="L116">
        <v>639</v>
      </c>
      <c r="M116">
        <v>178</v>
      </c>
      <c r="N116">
        <v>118</v>
      </c>
      <c r="O116" s="2" t="s">
        <v>603</v>
      </c>
      <c r="P116">
        <v>1</v>
      </c>
      <c r="Q116" t="s">
        <v>604</v>
      </c>
      <c r="R116">
        <v>1</v>
      </c>
      <c r="S116" t="s">
        <v>605</v>
      </c>
      <c r="T116">
        <v>1</v>
      </c>
      <c r="U116" t="s">
        <v>606</v>
      </c>
      <c r="V116" t="s">
        <v>519</v>
      </c>
    </row>
    <row r="117" spans="1:22" hidden="1" x14ac:dyDescent="0.2">
      <c r="A117" t="s">
        <v>93</v>
      </c>
      <c r="B117" t="s">
        <v>23</v>
      </c>
      <c r="C117" t="s">
        <v>24</v>
      </c>
      <c r="D117" t="s">
        <v>512</v>
      </c>
      <c r="E117" t="s">
        <v>395</v>
      </c>
      <c r="F117" t="s">
        <v>125</v>
      </c>
      <c r="G117" t="s">
        <v>28</v>
      </c>
      <c r="H117">
        <v>2</v>
      </c>
      <c r="I117" s="1" t="s">
        <v>546</v>
      </c>
      <c r="J117" s="1" t="s">
        <v>607</v>
      </c>
      <c r="K117">
        <v>1654</v>
      </c>
      <c r="L117">
        <v>639</v>
      </c>
      <c r="M117">
        <v>162</v>
      </c>
      <c r="N117">
        <v>104</v>
      </c>
      <c r="O117" s="2" t="s">
        <v>608</v>
      </c>
      <c r="P117">
        <v>1</v>
      </c>
      <c r="Q117" t="s">
        <v>609</v>
      </c>
      <c r="R117">
        <v>1</v>
      </c>
      <c r="S117" t="s">
        <v>610</v>
      </c>
      <c r="T117">
        <v>1</v>
      </c>
      <c r="U117" t="s">
        <v>611</v>
      </c>
      <c r="V117" t="s">
        <v>519</v>
      </c>
    </row>
    <row r="118" spans="1:22" hidden="1" x14ac:dyDescent="0.2">
      <c r="A118" t="s">
        <v>93</v>
      </c>
      <c r="B118" t="s">
        <v>23</v>
      </c>
      <c r="C118" t="s">
        <v>24</v>
      </c>
      <c r="D118" t="s">
        <v>512</v>
      </c>
      <c r="E118" t="s">
        <v>395</v>
      </c>
      <c r="F118" t="s">
        <v>125</v>
      </c>
      <c r="G118" t="s">
        <v>28</v>
      </c>
      <c r="H118">
        <v>3</v>
      </c>
      <c r="I118" s="1" t="s">
        <v>546</v>
      </c>
      <c r="J118" s="1" t="s">
        <v>612</v>
      </c>
      <c r="K118">
        <v>1654</v>
      </c>
      <c r="L118">
        <v>639</v>
      </c>
      <c r="M118">
        <v>171</v>
      </c>
      <c r="N118">
        <v>110</v>
      </c>
      <c r="O118" s="2" t="s">
        <v>613</v>
      </c>
      <c r="P118">
        <v>1</v>
      </c>
      <c r="Q118" t="s">
        <v>614</v>
      </c>
      <c r="R118">
        <v>0</v>
      </c>
      <c r="S118" t="s">
        <v>615</v>
      </c>
      <c r="T118">
        <v>1</v>
      </c>
      <c r="U118" t="s">
        <v>616</v>
      </c>
      <c r="V118" t="s">
        <v>519</v>
      </c>
    </row>
    <row r="119" spans="1:22" hidden="1" x14ac:dyDescent="0.2">
      <c r="A119" t="s">
        <v>140</v>
      </c>
      <c r="B119" t="s">
        <v>23</v>
      </c>
      <c r="C119" t="s">
        <v>24</v>
      </c>
      <c r="D119" t="s">
        <v>512</v>
      </c>
      <c r="E119" t="s">
        <v>395</v>
      </c>
      <c r="F119" t="s">
        <v>141</v>
      </c>
      <c r="G119" t="s">
        <v>28</v>
      </c>
      <c r="H119">
        <v>1</v>
      </c>
      <c r="I119" s="1" t="s">
        <v>617</v>
      </c>
      <c r="J119" t="s">
        <v>618</v>
      </c>
      <c r="K119">
        <v>1562</v>
      </c>
      <c r="L119">
        <v>588</v>
      </c>
      <c r="M119">
        <v>1064</v>
      </c>
      <c r="N119">
        <v>22</v>
      </c>
      <c r="O119" s="2" t="s">
        <v>619</v>
      </c>
      <c r="P119">
        <v>1</v>
      </c>
      <c r="Q119" t="s">
        <v>620</v>
      </c>
      <c r="R119">
        <v>1</v>
      </c>
      <c r="S119" t="s">
        <v>621</v>
      </c>
      <c r="T119">
        <v>1</v>
      </c>
      <c r="U119" t="s">
        <v>622</v>
      </c>
      <c r="V119" t="s">
        <v>519</v>
      </c>
    </row>
    <row r="120" spans="1:22" hidden="1" x14ac:dyDescent="0.2">
      <c r="A120" t="s">
        <v>140</v>
      </c>
      <c r="B120" t="s">
        <v>23</v>
      </c>
      <c r="C120" t="s">
        <v>24</v>
      </c>
      <c r="D120" t="s">
        <v>512</v>
      </c>
      <c r="E120" t="s">
        <v>395</v>
      </c>
      <c r="F120" t="s">
        <v>141</v>
      </c>
      <c r="G120" t="s">
        <v>28</v>
      </c>
      <c r="H120">
        <v>2</v>
      </c>
      <c r="I120" s="1" t="s">
        <v>617</v>
      </c>
      <c r="J120" t="s">
        <v>623</v>
      </c>
      <c r="K120">
        <v>1562</v>
      </c>
      <c r="L120">
        <v>588</v>
      </c>
      <c r="M120">
        <v>870</v>
      </c>
      <c r="N120">
        <v>22</v>
      </c>
      <c r="O120" s="2" t="s">
        <v>624</v>
      </c>
      <c r="P120">
        <v>1</v>
      </c>
      <c r="Q120" t="s">
        <v>625</v>
      </c>
      <c r="R120">
        <v>1</v>
      </c>
      <c r="S120" t="s">
        <v>626</v>
      </c>
      <c r="T120">
        <v>1</v>
      </c>
      <c r="U120" t="s">
        <v>627</v>
      </c>
      <c r="V120" t="s">
        <v>519</v>
      </c>
    </row>
    <row r="121" spans="1:22" hidden="1" x14ac:dyDescent="0.2">
      <c r="A121" t="s">
        <v>140</v>
      </c>
      <c r="B121" t="s">
        <v>23</v>
      </c>
      <c r="C121" t="s">
        <v>24</v>
      </c>
      <c r="D121" t="s">
        <v>512</v>
      </c>
      <c r="E121" t="s">
        <v>395</v>
      </c>
      <c r="F121" t="s">
        <v>141</v>
      </c>
      <c r="G121" t="s">
        <v>28</v>
      </c>
      <c r="H121">
        <v>3</v>
      </c>
      <c r="I121" s="1" t="s">
        <v>617</v>
      </c>
      <c r="J121" s="1" t="s">
        <v>628</v>
      </c>
      <c r="K121">
        <v>1562</v>
      </c>
      <c r="L121">
        <v>588</v>
      </c>
      <c r="M121">
        <v>998</v>
      </c>
      <c r="N121">
        <v>21</v>
      </c>
      <c r="O121" s="2" t="s">
        <v>629</v>
      </c>
      <c r="P121">
        <v>1</v>
      </c>
      <c r="Q121" t="s">
        <v>630</v>
      </c>
      <c r="R121">
        <v>1</v>
      </c>
      <c r="S121" t="s">
        <v>631</v>
      </c>
      <c r="T121">
        <v>1</v>
      </c>
      <c r="U121" t="s">
        <v>611</v>
      </c>
      <c r="V121" t="s">
        <v>519</v>
      </c>
    </row>
    <row r="122" spans="1:22" hidden="1" x14ac:dyDescent="0.2">
      <c r="A122" t="s">
        <v>22</v>
      </c>
      <c r="B122" t="s">
        <v>23</v>
      </c>
      <c r="C122" t="s">
        <v>24</v>
      </c>
      <c r="D122" t="s">
        <v>632</v>
      </c>
      <c r="E122" t="s">
        <v>395</v>
      </c>
      <c r="F122" t="s">
        <v>27</v>
      </c>
      <c r="G122" t="s">
        <v>28</v>
      </c>
      <c r="H122">
        <v>1</v>
      </c>
      <c r="I122" s="1" t="s">
        <v>633</v>
      </c>
      <c r="J122" s="1" t="s">
        <v>634</v>
      </c>
      <c r="K122">
        <v>1561</v>
      </c>
      <c r="L122">
        <v>576</v>
      </c>
      <c r="M122">
        <v>128</v>
      </c>
      <c r="N122">
        <v>79</v>
      </c>
      <c r="O122" s="2" t="s">
        <v>635</v>
      </c>
      <c r="P122">
        <v>1</v>
      </c>
      <c r="Q122" t="s">
        <v>636</v>
      </c>
      <c r="R122">
        <v>1</v>
      </c>
      <c r="S122" t="s">
        <v>637</v>
      </c>
      <c r="T122">
        <v>1</v>
      </c>
      <c r="U122" t="s">
        <v>638</v>
      </c>
      <c r="V122" t="s">
        <v>639</v>
      </c>
    </row>
    <row r="123" spans="1:22" hidden="1" x14ac:dyDescent="0.2">
      <c r="A123" t="s">
        <v>22</v>
      </c>
      <c r="B123" t="s">
        <v>23</v>
      </c>
      <c r="C123" t="s">
        <v>24</v>
      </c>
      <c r="D123" t="s">
        <v>632</v>
      </c>
      <c r="E123" t="s">
        <v>395</v>
      </c>
      <c r="F123" t="s">
        <v>27</v>
      </c>
      <c r="G123" t="s">
        <v>28</v>
      </c>
      <c r="H123">
        <v>2</v>
      </c>
      <c r="I123" s="1" t="s">
        <v>633</v>
      </c>
      <c r="J123" s="1" t="s">
        <v>640</v>
      </c>
      <c r="K123">
        <v>1561</v>
      </c>
      <c r="L123">
        <v>576</v>
      </c>
      <c r="M123">
        <v>149</v>
      </c>
      <c r="N123">
        <v>87</v>
      </c>
      <c r="O123" s="2" t="s">
        <v>641</v>
      </c>
      <c r="P123">
        <v>1</v>
      </c>
      <c r="Q123" t="s">
        <v>642</v>
      </c>
      <c r="R123">
        <v>1</v>
      </c>
      <c r="S123" t="s">
        <v>643</v>
      </c>
      <c r="T123">
        <v>1</v>
      </c>
      <c r="U123" t="s">
        <v>644</v>
      </c>
      <c r="V123" t="s">
        <v>639</v>
      </c>
    </row>
    <row r="124" spans="1:22" hidden="1" x14ac:dyDescent="0.2">
      <c r="A124" t="s">
        <v>22</v>
      </c>
      <c r="B124" t="s">
        <v>23</v>
      </c>
      <c r="C124" t="s">
        <v>24</v>
      </c>
      <c r="D124" t="s">
        <v>632</v>
      </c>
      <c r="E124" t="s">
        <v>395</v>
      </c>
      <c r="F124" t="s">
        <v>27</v>
      </c>
      <c r="G124" t="s">
        <v>28</v>
      </c>
      <c r="H124">
        <v>3</v>
      </c>
      <c r="I124" s="1" t="s">
        <v>633</v>
      </c>
      <c r="J124" s="1" t="s">
        <v>645</v>
      </c>
      <c r="K124">
        <v>1561</v>
      </c>
      <c r="L124">
        <v>576</v>
      </c>
      <c r="M124">
        <v>129</v>
      </c>
      <c r="N124">
        <v>75</v>
      </c>
      <c r="O124" s="2" t="s">
        <v>646</v>
      </c>
      <c r="P124">
        <v>1</v>
      </c>
      <c r="Q124" t="s">
        <v>647</v>
      </c>
      <c r="R124">
        <v>1</v>
      </c>
      <c r="S124" t="s">
        <v>648</v>
      </c>
      <c r="T124">
        <v>1</v>
      </c>
      <c r="U124" t="s">
        <v>649</v>
      </c>
      <c r="V124" t="s">
        <v>639</v>
      </c>
    </row>
    <row r="125" spans="1:22" hidden="1" x14ac:dyDescent="0.2">
      <c r="A125" t="s">
        <v>22</v>
      </c>
      <c r="B125" t="s">
        <v>23</v>
      </c>
      <c r="C125" t="s">
        <v>24</v>
      </c>
      <c r="D125" t="s">
        <v>632</v>
      </c>
      <c r="E125" t="s">
        <v>395</v>
      </c>
      <c r="F125" t="s">
        <v>46</v>
      </c>
      <c r="G125" t="s">
        <v>28</v>
      </c>
      <c r="H125">
        <v>1</v>
      </c>
      <c r="I125" s="1" t="s">
        <v>650</v>
      </c>
      <c r="J125" s="1" t="s">
        <v>651</v>
      </c>
      <c r="K125">
        <v>1589</v>
      </c>
      <c r="L125">
        <v>590</v>
      </c>
      <c r="M125">
        <v>200</v>
      </c>
      <c r="N125">
        <v>127</v>
      </c>
      <c r="O125" s="2" t="s">
        <v>652</v>
      </c>
      <c r="P125">
        <v>1</v>
      </c>
      <c r="Q125" t="s">
        <v>653</v>
      </c>
      <c r="R125">
        <v>1</v>
      </c>
      <c r="S125" t="s">
        <v>654</v>
      </c>
      <c r="T125">
        <v>1</v>
      </c>
      <c r="U125" t="s">
        <v>655</v>
      </c>
      <c r="V125" t="s">
        <v>639</v>
      </c>
    </row>
    <row r="126" spans="1:22" hidden="1" x14ac:dyDescent="0.2">
      <c r="A126" t="s">
        <v>22</v>
      </c>
      <c r="B126" t="s">
        <v>23</v>
      </c>
      <c r="C126" t="s">
        <v>24</v>
      </c>
      <c r="D126" t="s">
        <v>632</v>
      </c>
      <c r="E126" t="s">
        <v>395</v>
      </c>
      <c r="F126" t="s">
        <v>46</v>
      </c>
      <c r="G126" t="s">
        <v>28</v>
      </c>
      <c r="H126">
        <v>2</v>
      </c>
      <c r="I126" s="1" t="s">
        <v>650</v>
      </c>
      <c r="J126" s="1" t="s">
        <v>656</v>
      </c>
      <c r="K126">
        <v>1589</v>
      </c>
      <c r="L126">
        <v>590</v>
      </c>
      <c r="M126">
        <v>211</v>
      </c>
      <c r="N126">
        <v>133</v>
      </c>
      <c r="O126" s="2" t="s">
        <v>657</v>
      </c>
      <c r="P126">
        <v>1</v>
      </c>
      <c r="Q126" t="s">
        <v>658</v>
      </c>
      <c r="R126">
        <v>1</v>
      </c>
      <c r="S126" t="s">
        <v>659</v>
      </c>
      <c r="T126">
        <v>1</v>
      </c>
      <c r="U126" t="s">
        <v>660</v>
      </c>
      <c r="V126" t="s">
        <v>639</v>
      </c>
    </row>
    <row r="127" spans="1:22" hidden="1" x14ac:dyDescent="0.2">
      <c r="A127" t="s">
        <v>22</v>
      </c>
      <c r="B127" t="s">
        <v>23</v>
      </c>
      <c r="C127" t="s">
        <v>24</v>
      </c>
      <c r="D127" t="s">
        <v>632</v>
      </c>
      <c r="E127" t="s">
        <v>395</v>
      </c>
      <c r="F127" t="s">
        <v>46</v>
      </c>
      <c r="G127" t="s">
        <v>28</v>
      </c>
      <c r="H127">
        <v>3</v>
      </c>
      <c r="I127" s="1" t="s">
        <v>650</v>
      </c>
      <c r="J127" s="1" t="s">
        <v>661</v>
      </c>
      <c r="K127">
        <v>1589</v>
      </c>
      <c r="L127">
        <v>590</v>
      </c>
      <c r="M127">
        <v>229</v>
      </c>
      <c r="N127">
        <v>132</v>
      </c>
      <c r="O127" s="2" t="s">
        <v>662</v>
      </c>
      <c r="P127">
        <v>1</v>
      </c>
      <c r="Q127" t="s">
        <v>663</v>
      </c>
      <c r="R127">
        <v>1</v>
      </c>
      <c r="S127" t="s">
        <v>664</v>
      </c>
      <c r="T127">
        <v>1</v>
      </c>
      <c r="U127" t="s">
        <v>665</v>
      </c>
      <c r="V127" t="s">
        <v>639</v>
      </c>
    </row>
    <row r="128" spans="1:22" hidden="1" x14ac:dyDescent="0.2">
      <c r="A128" t="s">
        <v>22</v>
      </c>
      <c r="B128" t="s">
        <v>23</v>
      </c>
      <c r="C128" t="s">
        <v>24</v>
      </c>
      <c r="D128" t="s">
        <v>632</v>
      </c>
      <c r="E128" t="s">
        <v>395</v>
      </c>
      <c r="F128" t="s">
        <v>61</v>
      </c>
      <c r="G128" t="s">
        <v>28</v>
      </c>
      <c r="H128">
        <v>1</v>
      </c>
      <c r="I128" s="1" t="s">
        <v>666</v>
      </c>
      <c r="J128" s="1" t="s">
        <v>667</v>
      </c>
      <c r="K128">
        <v>1624</v>
      </c>
      <c r="L128">
        <v>612</v>
      </c>
      <c r="M128">
        <v>203</v>
      </c>
      <c r="N128">
        <v>115</v>
      </c>
      <c r="O128" s="2" t="s">
        <v>668</v>
      </c>
      <c r="P128">
        <v>1</v>
      </c>
      <c r="Q128" t="s">
        <v>669</v>
      </c>
      <c r="R128">
        <v>1</v>
      </c>
      <c r="S128" t="s">
        <v>670</v>
      </c>
      <c r="T128">
        <v>1</v>
      </c>
      <c r="U128" t="s">
        <v>75</v>
      </c>
      <c r="V128" t="s">
        <v>639</v>
      </c>
    </row>
    <row r="129" spans="1:22" hidden="1" x14ac:dyDescent="0.2">
      <c r="A129" t="s">
        <v>22</v>
      </c>
      <c r="B129" t="s">
        <v>23</v>
      </c>
      <c r="C129" t="s">
        <v>24</v>
      </c>
      <c r="D129" t="s">
        <v>632</v>
      </c>
      <c r="E129" t="s">
        <v>395</v>
      </c>
      <c r="F129" t="s">
        <v>61</v>
      </c>
      <c r="G129" t="s">
        <v>28</v>
      </c>
      <c r="H129">
        <v>2</v>
      </c>
      <c r="I129" s="1" t="s">
        <v>666</v>
      </c>
      <c r="J129" s="1" t="s">
        <v>671</v>
      </c>
      <c r="K129">
        <v>1624</v>
      </c>
      <c r="L129">
        <v>612</v>
      </c>
      <c r="M129">
        <v>198</v>
      </c>
      <c r="N129">
        <v>112</v>
      </c>
      <c r="O129" s="2" t="s">
        <v>672</v>
      </c>
      <c r="P129">
        <v>1</v>
      </c>
      <c r="Q129" t="s">
        <v>673</v>
      </c>
      <c r="R129">
        <v>1</v>
      </c>
      <c r="S129" t="s">
        <v>674</v>
      </c>
      <c r="T129">
        <v>1</v>
      </c>
      <c r="U129" t="s">
        <v>675</v>
      </c>
      <c r="V129" t="s">
        <v>639</v>
      </c>
    </row>
    <row r="130" spans="1:22" hidden="1" x14ac:dyDescent="0.2">
      <c r="A130" t="s">
        <v>22</v>
      </c>
      <c r="B130" t="s">
        <v>23</v>
      </c>
      <c r="C130" t="s">
        <v>24</v>
      </c>
      <c r="D130" t="s">
        <v>632</v>
      </c>
      <c r="E130" t="s">
        <v>395</v>
      </c>
      <c r="F130" t="s">
        <v>61</v>
      </c>
      <c r="G130" t="s">
        <v>28</v>
      </c>
      <c r="H130">
        <v>3</v>
      </c>
      <c r="I130" s="1" t="s">
        <v>666</v>
      </c>
      <c r="J130" s="1" t="s">
        <v>676</v>
      </c>
      <c r="K130">
        <v>1624</v>
      </c>
      <c r="L130">
        <v>612</v>
      </c>
      <c r="M130">
        <v>197</v>
      </c>
      <c r="N130">
        <v>114</v>
      </c>
      <c r="O130" s="2" t="s">
        <v>677</v>
      </c>
      <c r="P130">
        <v>1</v>
      </c>
      <c r="Q130" t="s">
        <v>678</v>
      </c>
      <c r="R130">
        <v>1</v>
      </c>
      <c r="S130" t="s">
        <v>679</v>
      </c>
      <c r="T130">
        <v>1</v>
      </c>
      <c r="U130" t="s">
        <v>680</v>
      </c>
      <c r="V130" t="s">
        <v>639</v>
      </c>
    </row>
    <row r="131" spans="1:22" hidden="1" x14ac:dyDescent="0.2">
      <c r="A131" t="s">
        <v>76</v>
      </c>
      <c r="B131" t="s">
        <v>23</v>
      </c>
      <c r="C131" t="s">
        <v>24</v>
      </c>
      <c r="D131" t="s">
        <v>632</v>
      </c>
      <c r="E131" t="s">
        <v>395</v>
      </c>
      <c r="F131" t="s">
        <v>77</v>
      </c>
      <c r="G131" t="s">
        <v>28</v>
      </c>
      <c r="H131">
        <v>1</v>
      </c>
      <c r="I131" s="1" t="s">
        <v>666</v>
      </c>
      <c r="J131" s="1" t="s">
        <v>681</v>
      </c>
      <c r="K131">
        <v>1501</v>
      </c>
      <c r="L131">
        <v>612</v>
      </c>
      <c r="M131">
        <v>148</v>
      </c>
      <c r="N131">
        <v>91</v>
      </c>
      <c r="O131" s="2" t="s">
        <v>682</v>
      </c>
      <c r="P131">
        <v>0</v>
      </c>
      <c r="Q131" t="s">
        <v>683</v>
      </c>
      <c r="R131">
        <v>1</v>
      </c>
      <c r="S131" t="s">
        <v>684</v>
      </c>
      <c r="T131">
        <v>1</v>
      </c>
      <c r="U131" t="s">
        <v>685</v>
      </c>
      <c r="V131" t="s">
        <v>639</v>
      </c>
    </row>
    <row r="132" spans="1:22" hidden="1" x14ac:dyDescent="0.2">
      <c r="A132" t="s">
        <v>76</v>
      </c>
      <c r="B132" t="s">
        <v>23</v>
      </c>
      <c r="C132" t="s">
        <v>24</v>
      </c>
      <c r="D132" t="s">
        <v>632</v>
      </c>
      <c r="E132" t="s">
        <v>395</v>
      </c>
      <c r="F132" t="s">
        <v>77</v>
      </c>
      <c r="G132" t="s">
        <v>28</v>
      </c>
      <c r="H132">
        <v>2</v>
      </c>
      <c r="I132" s="1" t="s">
        <v>666</v>
      </c>
      <c r="J132" s="1" t="s">
        <v>686</v>
      </c>
      <c r="K132">
        <v>1501</v>
      </c>
      <c r="L132">
        <v>612</v>
      </c>
      <c r="M132">
        <v>154</v>
      </c>
      <c r="N132">
        <v>92</v>
      </c>
      <c r="O132" s="2" t="s">
        <v>687</v>
      </c>
      <c r="P132">
        <v>0</v>
      </c>
      <c r="Q132" t="s">
        <v>688</v>
      </c>
      <c r="R132">
        <v>1</v>
      </c>
      <c r="S132" t="s">
        <v>689</v>
      </c>
      <c r="T132">
        <v>1</v>
      </c>
      <c r="U132" t="s">
        <v>690</v>
      </c>
      <c r="V132" t="s">
        <v>639</v>
      </c>
    </row>
    <row r="133" spans="1:22" hidden="1" x14ac:dyDescent="0.2">
      <c r="A133" t="s">
        <v>76</v>
      </c>
      <c r="B133" t="s">
        <v>23</v>
      </c>
      <c r="C133" t="s">
        <v>24</v>
      </c>
      <c r="D133" t="s">
        <v>632</v>
      </c>
      <c r="E133" t="s">
        <v>395</v>
      </c>
      <c r="F133" t="s">
        <v>77</v>
      </c>
      <c r="G133" t="s">
        <v>28</v>
      </c>
      <c r="H133">
        <v>3</v>
      </c>
      <c r="I133" s="1" t="s">
        <v>666</v>
      </c>
      <c r="J133" s="1" t="s">
        <v>691</v>
      </c>
      <c r="K133">
        <v>1501</v>
      </c>
      <c r="L133">
        <v>612</v>
      </c>
      <c r="M133">
        <v>171</v>
      </c>
      <c r="N133">
        <v>111</v>
      </c>
      <c r="O133" s="2" t="s">
        <v>692</v>
      </c>
      <c r="P133">
        <v>0</v>
      </c>
      <c r="Q133" t="s">
        <v>693</v>
      </c>
      <c r="R133">
        <v>1</v>
      </c>
      <c r="S133" t="s">
        <v>694</v>
      </c>
      <c r="T133">
        <v>1</v>
      </c>
      <c r="U133" t="s">
        <v>695</v>
      </c>
      <c r="V133" t="s">
        <v>639</v>
      </c>
    </row>
    <row r="134" spans="1:22" hidden="1" x14ac:dyDescent="0.2">
      <c r="A134" t="s">
        <v>93</v>
      </c>
      <c r="B134" t="s">
        <v>23</v>
      </c>
      <c r="C134" t="s">
        <v>24</v>
      </c>
      <c r="D134" t="s">
        <v>632</v>
      </c>
      <c r="E134" t="s">
        <v>395</v>
      </c>
      <c r="F134" t="s">
        <v>94</v>
      </c>
      <c r="G134" t="s">
        <v>28</v>
      </c>
      <c r="H134">
        <v>1</v>
      </c>
      <c r="I134" s="1" t="s">
        <v>633</v>
      </c>
      <c r="J134" s="1" t="s">
        <v>696</v>
      </c>
      <c r="K134">
        <v>1445</v>
      </c>
      <c r="L134">
        <v>576</v>
      </c>
      <c r="M134">
        <v>109</v>
      </c>
      <c r="N134">
        <v>69</v>
      </c>
      <c r="O134" s="2" t="s">
        <v>697</v>
      </c>
      <c r="P134">
        <v>1</v>
      </c>
      <c r="Q134" t="s">
        <v>698</v>
      </c>
      <c r="R134">
        <v>1</v>
      </c>
      <c r="S134" t="s">
        <v>699</v>
      </c>
      <c r="T134">
        <v>1</v>
      </c>
      <c r="U134" t="s">
        <v>700</v>
      </c>
      <c r="V134" t="s">
        <v>639</v>
      </c>
    </row>
    <row r="135" spans="1:22" hidden="1" x14ac:dyDescent="0.2">
      <c r="A135" t="s">
        <v>93</v>
      </c>
      <c r="B135" t="s">
        <v>23</v>
      </c>
      <c r="C135" t="s">
        <v>24</v>
      </c>
      <c r="D135" t="s">
        <v>632</v>
      </c>
      <c r="E135" t="s">
        <v>395</v>
      </c>
      <c r="F135" t="s">
        <v>94</v>
      </c>
      <c r="G135" t="s">
        <v>28</v>
      </c>
      <c r="H135">
        <v>2</v>
      </c>
      <c r="I135" s="1" t="s">
        <v>633</v>
      </c>
      <c r="J135" s="1" t="s">
        <v>701</v>
      </c>
      <c r="K135">
        <v>1445</v>
      </c>
      <c r="L135">
        <v>576</v>
      </c>
      <c r="M135">
        <v>108</v>
      </c>
      <c r="N135">
        <v>72</v>
      </c>
      <c r="O135" s="2" t="s">
        <v>702</v>
      </c>
      <c r="P135">
        <v>1</v>
      </c>
      <c r="Q135" t="s">
        <v>703</v>
      </c>
      <c r="R135">
        <v>0</v>
      </c>
      <c r="S135" t="s">
        <v>704</v>
      </c>
      <c r="T135">
        <v>1</v>
      </c>
      <c r="U135" t="s">
        <v>705</v>
      </c>
      <c r="V135" t="s">
        <v>639</v>
      </c>
    </row>
    <row r="136" spans="1:22" hidden="1" x14ac:dyDescent="0.2">
      <c r="A136" t="s">
        <v>93</v>
      </c>
      <c r="B136" t="s">
        <v>23</v>
      </c>
      <c r="C136" t="s">
        <v>24</v>
      </c>
      <c r="D136" t="s">
        <v>632</v>
      </c>
      <c r="E136" t="s">
        <v>395</v>
      </c>
      <c r="F136" t="s">
        <v>94</v>
      </c>
      <c r="G136" t="s">
        <v>28</v>
      </c>
      <c r="H136">
        <v>3</v>
      </c>
      <c r="I136" s="1" t="s">
        <v>633</v>
      </c>
      <c r="J136" s="1" t="s">
        <v>706</v>
      </c>
      <c r="K136">
        <v>1445</v>
      </c>
      <c r="L136">
        <v>576</v>
      </c>
      <c r="M136">
        <v>113</v>
      </c>
      <c r="N136">
        <v>76</v>
      </c>
      <c r="O136" s="2" t="s">
        <v>707</v>
      </c>
      <c r="P136">
        <v>0</v>
      </c>
      <c r="Q136" t="s">
        <v>708</v>
      </c>
      <c r="R136">
        <v>1</v>
      </c>
      <c r="S136" t="s">
        <v>709</v>
      </c>
      <c r="T136">
        <v>1</v>
      </c>
      <c r="U136" t="s">
        <v>710</v>
      </c>
      <c r="V136" t="s">
        <v>639</v>
      </c>
    </row>
    <row r="137" spans="1:22" x14ac:dyDescent="0.2">
      <c r="A137" t="s">
        <v>93</v>
      </c>
      <c r="B137" t="s">
        <v>23</v>
      </c>
      <c r="C137" t="s">
        <v>24</v>
      </c>
      <c r="D137" t="s">
        <v>632</v>
      </c>
      <c r="E137" t="s">
        <v>395</v>
      </c>
      <c r="F137" t="s">
        <v>110</v>
      </c>
      <c r="G137" t="s">
        <v>28</v>
      </c>
      <c r="H137">
        <v>1</v>
      </c>
      <c r="I137" s="1" t="s">
        <v>650</v>
      </c>
      <c r="J137" s="1" t="s">
        <v>711</v>
      </c>
      <c r="K137">
        <v>1470</v>
      </c>
      <c r="L137">
        <v>590</v>
      </c>
      <c r="M137">
        <v>161</v>
      </c>
      <c r="N137">
        <v>113</v>
      </c>
      <c r="O137" s="2" t="s">
        <v>712</v>
      </c>
      <c r="P137">
        <v>0</v>
      </c>
      <c r="Q137" t="s">
        <v>713</v>
      </c>
      <c r="R137">
        <v>1</v>
      </c>
      <c r="S137" t="s">
        <v>714</v>
      </c>
      <c r="T137">
        <v>1</v>
      </c>
      <c r="U137" t="s">
        <v>82</v>
      </c>
      <c r="V137" t="s">
        <v>639</v>
      </c>
    </row>
    <row r="138" spans="1:22" hidden="1" x14ac:dyDescent="0.2">
      <c r="A138" t="s">
        <v>93</v>
      </c>
      <c r="B138" t="s">
        <v>23</v>
      </c>
      <c r="C138" t="s">
        <v>24</v>
      </c>
      <c r="D138" t="s">
        <v>632</v>
      </c>
      <c r="E138" t="s">
        <v>395</v>
      </c>
      <c r="F138" t="s">
        <v>110</v>
      </c>
      <c r="G138" t="s">
        <v>28</v>
      </c>
      <c r="H138">
        <v>2</v>
      </c>
      <c r="I138" s="1" t="s">
        <v>650</v>
      </c>
      <c r="J138" s="1" t="s">
        <v>715</v>
      </c>
      <c r="K138">
        <v>1470</v>
      </c>
      <c r="L138">
        <v>590</v>
      </c>
      <c r="M138">
        <v>190</v>
      </c>
      <c r="N138">
        <v>132</v>
      </c>
      <c r="O138" s="2" t="s">
        <v>716</v>
      </c>
      <c r="P138">
        <v>1</v>
      </c>
      <c r="Q138" t="s">
        <v>717</v>
      </c>
      <c r="R138">
        <v>0</v>
      </c>
      <c r="S138" t="s">
        <v>718</v>
      </c>
      <c r="T138">
        <v>1</v>
      </c>
      <c r="U138" t="s">
        <v>719</v>
      </c>
      <c r="V138" t="s">
        <v>639</v>
      </c>
    </row>
    <row r="139" spans="1:22" x14ac:dyDescent="0.2">
      <c r="A139" t="s">
        <v>93</v>
      </c>
      <c r="B139" t="s">
        <v>23</v>
      </c>
      <c r="C139" t="s">
        <v>24</v>
      </c>
      <c r="D139" t="s">
        <v>632</v>
      </c>
      <c r="E139" t="s">
        <v>395</v>
      </c>
      <c r="F139" t="s">
        <v>110</v>
      </c>
      <c r="G139" t="s">
        <v>28</v>
      </c>
      <c r="H139">
        <v>3</v>
      </c>
      <c r="I139" s="1" t="s">
        <v>650</v>
      </c>
      <c r="J139" s="1" t="s">
        <v>720</v>
      </c>
      <c r="K139">
        <v>1470</v>
      </c>
      <c r="L139">
        <v>590</v>
      </c>
      <c r="M139">
        <v>151</v>
      </c>
      <c r="N139">
        <v>97</v>
      </c>
      <c r="O139">
        <v>2.2436709403991699</v>
      </c>
      <c r="P139">
        <v>0</v>
      </c>
      <c r="Q139" t="s">
        <v>721</v>
      </c>
      <c r="R139">
        <v>1</v>
      </c>
      <c r="S139" t="s">
        <v>722</v>
      </c>
      <c r="T139">
        <v>1</v>
      </c>
      <c r="U139" t="s">
        <v>723</v>
      </c>
      <c r="V139" t="s">
        <v>639</v>
      </c>
    </row>
    <row r="140" spans="1:22" hidden="1" x14ac:dyDescent="0.2">
      <c r="A140" t="s">
        <v>93</v>
      </c>
      <c r="B140" t="s">
        <v>23</v>
      </c>
      <c r="C140" t="s">
        <v>24</v>
      </c>
      <c r="D140" t="s">
        <v>632</v>
      </c>
      <c r="E140" t="s">
        <v>395</v>
      </c>
      <c r="F140" t="s">
        <v>125</v>
      </c>
      <c r="G140" t="s">
        <v>28</v>
      </c>
      <c r="H140">
        <v>1</v>
      </c>
      <c r="I140" s="1" t="s">
        <v>666</v>
      </c>
      <c r="J140" s="1" t="s">
        <v>724</v>
      </c>
      <c r="K140">
        <v>1501</v>
      </c>
      <c r="L140">
        <v>612</v>
      </c>
      <c r="M140">
        <v>180</v>
      </c>
      <c r="N140">
        <v>117</v>
      </c>
      <c r="O140" s="2" t="s">
        <v>725</v>
      </c>
      <c r="P140">
        <v>1</v>
      </c>
      <c r="Q140" t="s">
        <v>726</v>
      </c>
      <c r="R140">
        <v>0</v>
      </c>
      <c r="S140" t="s">
        <v>727</v>
      </c>
      <c r="T140">
        <v>1</v>
      </c>
      <c r="U140" t="s">
        <v>393</v>
      </c>
      <c r="V140" t="s">
        <v>639</v>
      </c>
    </row>
    <row r="141" spans="1:22" hidden="1" x14ac:dyDescent="0.2">
      <c r="A141" t="s">
        <v>93</v>
      </c>
      <c r="B141" t="s">
        <v>23</v>
      </c>
      <c r="C141" t="s">
        <v>24</v>
      </c>
      <c r="D141" t="s">
        <v>632</v>
      </c>
      <c r="E141" t="s">
        <v>395</v>
      </c>
      <c r="F141" t="s">
        <v>125</v>
      </c>
      <c r="G141" t="s">
        <v>28</v>
      </c>
      <c r="H141">
        <v>2</v>
      </c>
      <c r="I141" s="1" t="s">
        <v>666</v>
      </c>
      <c r="J141" s="1" t="s">
        <v>728</v>
      </c>
      <c r="K141">
        <v>1501</v>
      </c>
      <c r="L141">
        <v>612</v>
      </c>
      <c r="M141">
        <v>176</v>
      </c>
      <c r="N141">
        <v>120</v>
      </c>
      <c r="O141">
        <v>2.8903570175170898</v>
      </c>
      <c r="P141">
        <v>1</v>
      </c>
      <c r="Q141" t="s">
        <v>729</v>
      </c>
      <c r="R141">
        <v>1</v>
      </c>
      <c r="S141" t="s">
        <v>730</v>
      </c>
      <c r="T141">
        <v>1</v>
      </c>
      <c r="U141" t="s">
        <v>449</v>
      </c>
      <c r="V141" t="s">
        <v>639</v>
      </c>
    </row>
    <row r="142" spans="1:22" hidden="1" x14ac:dyDescent="0.2">
      <c r="A142" t="s">
        <v>93</v>
      </c>
      <c r="B142" t="s">
        <v>23</v>
      </c>
      <c r="C142" t="s">
        <v>24</v>
      </c>
      <c r="D142" t="s">
        <v>632</v>
      </c>
      <c r="E142" t="s">
        <v>395</v>
      </c>
      <c r="F142" t="s">
        <v>125</v>
      </c>
      <c r="G142" t="s">
        <v>28</v>
      </c>
      <c r="H142">
        <v>3</v>
      </c>
      <c r="I142" s="1" t="s">
        <v>666</v>
      </c>
      <c r="J142" s="1" t="s">
        <v>731</v>
      </c>
      <c r="K142">
        <v>1501</v>
      </c>
      <c r="L142">
        <v>612</v>
      </c>
      <c r="M142">
        <v>184</v>
      </c>
      <c r="N142">
        <v>125</v>
      </c>
      <c r="O142" s="2" t="s">
        <v>732</v>
      </c>
      <c r="P142">
        <v>0</v>
      </c>
      <c r="Q142" t="s">
        <v>733</v>
      </c>
      <c r="R142">
        <v>1</v>
      </c>
      <c r="S142" t="s">
        <v>734</v>
      </c>
      <c r="T142">
        <v>1</v>
      </c>
      <c r="U142" t="s">
        <v>735</v>
      </c>
      <c r="V142" t="s">
        <v>639</v>
      </c>
    </row>
    <row r="143" spans="1:22" hidden="1" x14ac:dyDescent="0.2">
      <c r="A143" t="s">
        <v>140</v>
      </c>
      <c r="B143" t="s">
        <v>23</v>
      </c>
      <c r="C143" t="s">
        <v>24</v>
      </c>
      <c r="D143" t="s">
        <v>632</v>
      </c>
      <c r="E143" t="s">
        <v>395</v>
      </c>
      <c r="F143" t="s">
        <v>141</v>
      </c>
      <c r="G143" t="s">
        <v>28</v>
      </c>
      <c r="H143">
        <v>1</v>
      </c>
      <c r="I143" s="1" t="s">
        <v>736</v>
      </c>
      <c r="J143" t="s">
        <v>737</v>
      </c>
      <c r="K143">
        <v>1409</v>
      </c>
      <c r="L143">
        <v>561</v>
      </c>
      <c r="M143">
        <v>1317</v>
      </c>
      <c r="N143">
        <v>21</v>
      </c>
      <c r="O143" s="2" t="s">
        <v>738</v>
      </c>
      <c r="P143">
        <v>1</v>
      </c>
      <c r="Q143" t="s">
        <v>739</v>
      </c>
      <c r="R143">
        <v>1</v>
      </c>
      <c r="S143" t="s">
        <v>740</v>
      </c>
      <c r="T143">
        <v>1</v>
      </c>
      <c r="U143" t="s">
        <v>109</v>
      </c>
      <c r="V143" t="s">
        <v>639</v>
      </c>
    </row>
    <row r="144" spans="1:22" hidden="1" x14ac:dyDescent="0.2">
      <c r="A144" t="s">
        <v>140</v>
      </c>
      <c r="B144" t="s">
        <v>23</v>
      </c>
      <c r="C144" t="s">
        <v>24</v>
      </c>
      <c r="D144" t="s">
        <v>632</v>
      </c>
      <c r="E144" t="s">
        <v>395</v>
      </c>
      <c r="F144" t="s">
        <v>141</v>
      </c>
      <c r="G144" t="s">
        <v>28</v>
      </c>
      <c r="H144">
        <v>2</v>
      </c>
      <c r="I144" s="1" t="s">
        <v>736</v>
      </c>
      <c r="J144" t="s">
        <v>741</v>
      </c>
      <c r="K144">
        <v>1409</v>
      </c>
      <c r="L144">
        <v>561</v>
      </c>
      <c r="M144">
        <v>550</v>
      </c>
      <c r="N144">
        <v>21</v>
      </c>
      <c r="O144" s="2" t="s">
        <v>742</v>
      </c>
      <c r="P144">
        <v>1</v>
      </c>
      <c r="Q144" t="s">
        <v>743</v>
      </c>
      <c r="R144">
        <v>1</v>
      </c>
      <c r="S144" t="s">
        <v>744</v>
      </c>
      <c r="T144">
        <v>1</v>
      </c>
      <c r="U144" t="s">
        <v>339</v>
      </c>
      <c r="V144" t="s">
        <v>639</v>
      </c>
    </row>
    <row r="145" spans="1:22" hidden="1" x14ac:dyDescent="0.2">
      <c r="A145" t="s">
        <v>140</v>
      </c>
      <c r="B145" t="s">
        <v>23</v>
      </c>
      <c r="C145" t="s">
        <v>24</v>
      </c>
      <c r="D145" t="s">
        <v>632</v>
      </c>
      <c r="E145" t="s">
        <v>395</v>
      </c>
      <c r="F145" t="s">
        <v>141</v>
      </c>
      <c r="G145" t="s">
        <v>28</v>
      </c>
      <c r="H145">
        <v>3</v>
      </c>
      <c r="I145" s="1" t="s">
        <v>736</v>
      </c>
      <c r="J145" s="1" t="s">
        <v>745</v>
      </c>
      <c r="K145">
        <v>1409</v>
      </c>
      <c r="L145">
        <v>561</v>
      </c>
      <c r="M145">
        <v>549</v>
      </c>
      <c r="N145">
        <v>21</v>
      </c>
      <c r="O145" s="2" t="s">
        <v>746</v>
      </c>
      <c r="P145">
        <v>1</v>
      </c>
      <c r="Q145" t="s">
        <v>747</v>
      </c>
      <c r="R145">
        <v>1</v>
      </c>
      <c r="S145" t="s">
        <v>748</v>
      </c>
      <c r="T145">
        <v>1</v>
      </c>
      <c r="U145" t="s">
        <v>749</v>
      </c>
      <c r="V145" t="s">
        <v>639</v>
      </c>
    </row>
    <row r="146" spans="1:22" hidden="1" x14ac:dyDescent="0.2">
      <c r="A146" t="s">
        <v>22</v>
      </c>
      <c r="B146" t="s">
        <v>750</v>
      </c>
      <c r="C146" t="s">
        <v>24</v>
      </c>
      <c r="D146" t="s">
        <v>751</v>
      </c>
      <c r="E146" t="s">
        <v>26</v>
      </c>
      <c r="F146" t="s">
        <v>27</v>
      </c>
      <c r="G146" t="s">
        <v>28</v>
      </c>
      <c r="H146">
        <v>1</v>
      </c>
      <c r="I146" s="1" t="s">
        <v>752</v>
      </c>
      <c r="J146" s="1" t="s">
        <v>753</v>
      </c>
      <c r="K146">
        <v>976</v>
      </c>
      <c r="L146">
        <v>436</v>
      </c>
      <c r="M146">
        <v>124</v>
      </c>
      <c r="N146">
        <v>74</v>
      </c>
      <c r="O146" s="2" t="s">
        <v>754</v>
      </c>
      <c r="P146">
        <v>1</v>
      </c>
      <c r="Q146" t="s">
        <v>755</v>
      </c>
      <c r="R146">
        <v>1</v>
      </c>
      <c r="S146" t="s">
        <v>756</v>
      </c>
      <c r="T146">
        <v>1</v>
      </c>
      <c r="U146" t="s">
        <v>757</v>
      </c>
      <c r="V146" t="s">
        <v>758</v>
      </c>
    </row>
    <row r="147" spans="1:22" hidden="1" x14ac:dyDescent="0.2">
      <c r="A147" t="s">
        <v>22</v>
      </c>
      <c r="B147" t="s">
        <v>750</v>
      </c>
      <c r="C147" t="s">
        <v>24</v>
      </c>
      <c r="D147" t="s">
        <v>751</v>
      </c>
      <c r="E147" t="s">
        <v>26</v>
      </c>
      <c r="F147" t="s">
        <v>27</v>
      </c>
      <c r="G147" t="s">
        <v>28</v>
      </c>
      <c r="H147">
        <v>2</v>
      </c>
      <c r="I147" s="1" t="s">
        <v>752</v>
      </c>
      <c r="J147" s="1" t="s">
        <v>759</v>
      </c>
      <c r="K147">
        <v>976</v>
      </c>
      <c r="L147">
        <v>436</v>
      </c>
      <c r="M147">
        <v>123</v>
      </c>
      <c r="N147">
        <v>75</v>
      </c>
      <c r="O147" s="2" t="s">
        <v>760</v>
      </c>
      <c r="P147">
        <v>1</v>
      </c>
      <c r="Q147" t="s">
        <v>761</v>
      </c>
      <c r="R147">
        <v>0</v>
      </c>
      <c r="S147" t="s">
        <v>762</v>
      </c>
      <c r="T147">
        <v>1</v>
      </c>
      <c r="U147" t="s">
        <v>82</v>
      </c>
      <c r="V147" t="s">
        <v>758</v>
      </c>
    </row>
    <row r="148" spans="1:22" hidden="1" x14ac:dyDescent="0.2">
      <c r="A148" t="s">
        <v>22</v>
      </c>
      <c r="B148" t="s">
        <v>750</v>
      </c>
      <c r="C148" t="s">
        <v>24</v>
      </c>
      <c r="D148" t="s">
        <v>751</v>
      </c>
      <c r="E148" t="s">
        <v>26</v>
      </c>
      <c r="F148" t="s">
        <v>27</v>
      </c>
      <c r="G148" t="s">
        <v>28</v>
      </c>
      <c r="H148">
        <v>3</v>
      </c>
      <c r="I148" s="1" t="s">
        <v>752</v>
      </c>
      <c r="J148" s="1" t="s">
        <v>763</v>
      </c>
      <c r="K148">
        <v>976</v>
      </c>
      <c r="L148">
        <v>436</v>
      </c>
      <c r="M148">
        <v>120</v>
      </c>
      <c r="N148">
        <v>72</v>
      </c>
      <c r="O148">
        <v>4.1930806636810303</v>
      </c>
      <c r="P148">
        <v>1</v>
      </c>
      <c r="Q148" t="s">
        <v>764</v>
      </c>
      <c r="R148">
        <v>1</v>
      </c>
      <c r="S148" t="s">
        <v>765</v>
      </c>
      <c r="T148">
        <v>1</v>
      </c>
      <c r="U148" t="s">
        <v>257</v>
      </c>
      <c r="V148" t="s">
        <v>758</v>
      </c>
    </row>
    <row r="149" spans="1:22" hidden="1" x14ac:dyDescent="0.2">
      <c r="A149" t="s">
        <v>22</v>
      </c>
      <c r="B149" t="s">
        <v>750</v>
      </c>
      <c r="C149" t="s">
        <v>24</v>
      </c>
      <c r="D149" t="s">
        <v>751</v>
      </c>
      <c r="E149" t="s">
        <v>26</v>
      </c>
      <c r="F149" t="s">
        <v>46</v>
      </c>
      <c r="G149" t="s">
        <v>28</v>
      </c>
      <c r="H149">
        <v>1</v>
      </c>
      <c r="I149" s="1" t="s">
        <v>766</v>
      </c>
      <c r="J149" s="1" t="s">
        <v>767</v>
      </c>
      <c r="K149">
        <v>1004</v>
      </c>
      <c r="L149">
        <v>450</v>
      </c>
      <c r="M149">
        <v>202</v>
      </c>
      <c r="N149">
        <v>132</v>
      </c>
      <c r="O149" s="2" t="s">
        <v>768</v>
      </c>
      <c r="P149">
        <v>1</v>
      </c>
      <c r="Q149" t="s">
        <v>769</v>
      </c>
      <c r="R149">
        <v>1</v>
      </c>
      <c r="S149" t="s">
        <v>770</v>
      </c>
      <c r="T149">
        <v>1</v>
      </c>
      <c r="U149" t="s">
        <v>771</v>
      </c>
      <c r="V149" t="s">
        <v>758</v>
      </c>
    </row>
    <row r="150" spans="1:22" hidden="1" x14ac:dyDescent="0.2">
      <c r="A150" t="s">
        <v>22</v>
      </c>
      <c r="B150" t="s">
        <v>750</v>
      </c>
      <c r="C150" t="s">
        <v>24</v>
      </c>
      <c r="D150" t="s">
        <v>751</v>
      </c>
      <c r="E150" t="s">
        <v>26</v>
      </c>
      <c r="F150" t="s">
        <v>46</v>
      </c>
      <c r="G150" t="s">
        <v>28</v>
      </c>
      <c r="H150">
        <v>2</v>
      </c>
      <c r="I150" s="1" t="s">
        <v>766</v>
      </c>
      <c r="J150" s="1" t="s">
        <v>772</v>
      </c>
      <c r="K150">
        <v>1004</v>
      </c>
      <c r="L150">
        <v>450</v>
      </c>
      <c r="M150">
        <v>205</v>
      </c>
      <c r="N150">
        <v>134</v>
      </c>
      <c r="O150">
        <v>4.3804559707641602</v>
      </c>
      <c r="P150">
        <v>1</v>
      </c>
      <c r="Q150" t="s">
        <v>773</v>
      </c>
      <c r="R150">
        <v>1</v>
      </c>
      <c r="S150" t="s">
        <v>774</v>
      </c>
      <c r="T150">
        <v>1</v>
      </c>
      <c r="U150" t="s">
        <v>775</v>
      </c>
      <c r="V150" t="s">
        <v>758</v>
      </c>
    </row>
    <row r="151" spans="1:22" hidden="1" x14ac:dyDescent="0.2">
      <c r="A151" t="s">
        <v>22</v>
      </c>
      <c r="B151" t="s">
        <v>750</v>
      </c>
      <c r="C151" t="s">
        <v>24</v>
      </c>
      <c r="D151" t="s">
        <v>751</v>
      </c>
      <c r="E151" t="s">
        <v>26</v>
      </c>
      <c r="F151" t="s">
        <v>46</v>
      </c>
      <c r="G151" t="s">
        <v>28</v>
      </c>
      <c r="H151">
        <v>3</v>
      </c>
      <c r="I151" s="1" t="s">
        <v>766</v>
      </c>
      <c r="J151" s="1" t="s">
        <v>776</v>
      </c>
      <c r="K151">
        <v>1004</v>
      </c>
      <c r="L151">
        <v>450</v>
      </c>
      <c r="M151">
        <v>203</v>
      </c>
      <c r="N151">
        <v>132</v>
      </c>
      <c r="O151" s="2" t="s">
        <v>777</v>
      </c>
      <c r="P151">
        <v>1</v>
      </c>
      <c r="Q151" t="s">
        <v>778</v>
      </c>
      <c r="R151">
        <v>1</v>
      </c>
      <c r="S151" t="s">
        <v>779</v>
      </c>
      <c r="T151">
        <v>1</v>
      </c>
      <c r="U151" t="s">
        <v>780</v>
      </c>
      <c r="V151" t="s">
        <v>758</v>
      </c>
    </row>
    <row r="152" spans="1:22" hidden="1" x14ac:dyDescent="0.2">
      <c r="A152" t="s">
        <v>22</v>
      </c>
      <c r="B152" t="s">
        <v>750</v>
      </c>
      <c r="C152" t="s">
        <v>24</v>
      </c>
      <c r="D152" t="s">
        <v>751</v>
      </c>
      <c r="E152" t="s">
        <v>26</v>
      </c>
      <c r="F152" t="s">
        <v>61</v>
      </c>
      <c r="G152" t="s">
        <v>28</v>
      </c>
      <c r="H152">
        <v>1</v>
      </c>
      <c r="I152" s="1" t="s">
        <v>781</v>
      </c>
      <c r="J152" s="1" t="s">
        <v>782</v>
      </c>
      <c r="K152">
        <v>1039</v>
      </c>
      <c r="L152">
        <v>472</v>
      </c>
      <c r="M152">
        <v>217</v>
      </c>
      <c r="N152">
        <v>129</v>
      </c>
      <c r="O152" s="2" t="s">
        <v>783</v>
      </c>
      <c r="P152">
        <v>1</v>
      </c>
      <c r="Q152" t="s">
        <v>784</v>
      </c>
      <c r="R152">
        <v>1</v>
      </c>
      <c r="S152" t="s">
        <v>785</v>
      </c>
      <c r="T152">
        <v>1</v>
      </c>
      <c r="U152" t="s">
        <v>655</v>
      </c>
      <c r="V152" t="s">
        <v>758</v>
      </c>
    </row>
    <row r="153" spans="1:22" hidden="1" x14ac:dyDescent="0.2">
      <c r="A153" t="s">
        <v>22</v>
      </c>
      <c r="B153" t="s">
        <v>750</v>
      </c>
      <c r="C153" t="s">
        <v>24</v>
      </c>
      <c r="D153" t="s">
        <v>751</v>
      </c>
      <c r="E153" t="s">
        <v>26</v>
      </c>
      <c r="F153" t="s">
        <v>61</v>
      </c>
      <c r="G153" t="s">
        <v>28</v>
      </c>
      <c r="H153">
        <v>2</v>
      </c>
      <c r="I153" s="1" t="s">
        <v>781</v>
      </c>
      <c r="J153" s="1" t="s">
        <v>786</v>
      </c>
      <c r="K153">
        <v>1039</v>
      </c>
      <c r="L153">
        <v>472</v>
      </c>
      <c r="M153">
        <v>182</v>
      </c>
      <c r="N153">
        <v>106</v>
      </c>
      <c r="O153" s="2" t="s">
        <v>787</v>
      </c>
      <c r="P153">
        <v>1</v>
      </c>
      <c r="Q153" t="s">
        <v>788</v>
      </c>
      <c r="R153">
        <v>0</v>
      </c>
      <c r="S153" t="s">
        <v>789</v>
      </c>
      <c r="T153">
        <v>1</v>
      </c>
      <c r="U153" t="s">
        <v>616</v>
      </c>
      <c r="V153" t="s">
        <v>758</v>
      </c>
    </row>
    <row r="154" spans="1:22" hidden="1" x14ac:dyDescent="0.2">
      <c r="A154" t="s">
        <v>22</v>
      </c>
      <c r="B154" t="s">
        <v>750</v>
      </c>
      <c r="C154" t="s">
        <v>24</v>
      </c>
      <c r="D154" t="s">
        <v>751</v>
      </c>
      <c r="E154" t="s">
        <v>26</v>
      </c>
      <c r="F154" t="s">
        <v>61</v>
      </c>
      <c r="G154" t="s">
        <v>28</v>
      </c>
      <c r="H154">
        <v>3</v>
      </c>
      <c r="I154" s="1" t="s">
        <v>781</v>
      </c>
      <c r="J154" s="1" t="s">
        <v>790</v>
      </c>
      <c r="K154">
        <v>1039</v>
      </c>
      <c r="L154">
        <v>472</v>
      </c>
      <c r="M154">
        <v>201</v>
      </c>
      <c r="N154">
        <v>118</v>
      </c>
      <c r="O154" s="2" t="s">
        <v>791</v>
      </c>
      <c r="P154">
        <v>1</v>
      </c>
      <c r="Q154" t="s">
        <v>792</v>
      </c>
      <c r="R154">
        <v>1</v>
      </c>
      <c r="S154" t="s">
        <v>793</v>
      </c>
      <c r="T154">
        <v>1</v>
      </c>
      <c r="U154" t="s">
        <v>794</v>
      </c>
      <c r="V154" t="s">
        <v>758</v>
      </c>
    </row>
    <row r="155" spans="1:22" hidden="1" x14ac:dyDescent="0.2">
      <c r="A155" t="s">
        <v>76</v>
      </c>
      <c r="B155" t="s">
        <v>750</v>
      </c>
      <c r="C155" t="s">
        <v>24</v>
      </c>
      <c r="D155" t="s">
        <v>751</v>
      </c>
      <c r="E155" t="s">
        <v>26</v>
      </c>
      <c r="F155" t="s">
        <v>77</v>
      </c>
      <c r="G155" t="s">
        <v>28</v>
      </c>
      <c r="H155">
        <v>1</v>
      </c>
      <c r="I155" s="1" t="s">
        <v>781</v>
      </c>
      <c r="J155" s="1" t="s">
        <v>795</v>
      </c>
      <c r="K155">
        <v>939</v>
      </c>
      <c r="L155">
        <v>472</v>
      </c>
      <c r="M155">
        <v>135</v>
      </c>
      <c r="N155">
        <v>82</v>
      </c>
      <c r="O155" s="2" t="s">
        <v>796</v>
      </c>
      <c r="P155">
        <v>1</v>
      </c>
      <c r="Q155" t="s">
        <v>797</v>
      </c>
      <c r="R155">
        <v>1</v>
      </c>
      <c r="S155" t="s">
        <v>798</v>
      </c>
      <c r="T155">
        <v>1</v>
      </c>
      <c r="U155" t="s">
        <v>799</v>
      </c>
      <c r="V155" t="s">
        <v>758</v>
      </c>
    </row>
    <row r="156" spans="1:22" hidden="1" x14ac:dyDescent="0.2">
      <c r="A156" t="s">
        <v>76</v>
      </c>
      <c r="B156" t="s">
        <v>750</v>
      </c>
      <c r="C156" t="s">
        <v>24</v>
      </c>
      <c r="D156" t="s">
        <v>751</v>
      </c>
      <c r="E156" t="s">
        <v>26</v>
      </c>
      <c r="F156" t="s">
        <v>77</v>
      </c>
      <c r="G156" t="s">
        <v>28</v>
      </c>
      <c r="H156">
        <v>2</v>
      </c>
      <c r="I156" s="1" t="s">
        <v>781</v>
      </c>
      <c r="J156" s="1" t="s">
        <v>800</v>
      </c>
      <c r="K156">
        <v>939</v>
      </c>
      <c r="L156">
        <v>472</v>
      </c>
      <c r="M156">
        <v>150</v>
      </c>
      <c r="N156">
        <v>94</v>
      </c>
      <c r="O156" s="2" t="s">
        <v>801</v>
      </c>
      <c r="P156">
        <v>0</v>
      </c>
      <c r="Q156" t="s">
        <v>802</v>
      </c>
      <c r="R156">
        <v>1</v>
      </c>
      <c r="S156" t="s">
        <v>803</v>
      </c>
      <c r="T156">
        <v>1</v>
      </c>
      <c r="U156" t="s">
        <v>616</v>
      </c>
      <c r="V156" t="s">
        <v>758</v>
      </c>
    </row>
    <row r="157" spans="1:22" hidden="1" x14ac:dyDescent="0.2">
      <c r="A157" t="s">
        <v>76</v>
      </c>
      <c r="B157" t="s">
        <v>750</v>
      </c>
      <c r="C157" t="s">
        <v>24</v>
      </c>
      <c r="D157" t="s">
        <v>751</v>
      </c>
      <c r="E157" t="s">
        <v>26</v>
      </c>
      <c r="F157" t="s">
        <v>77</v>
      </c>
      <c r="G157" t="s">
        <v>28</v>
      </c>
      <c r="H157">
        <v>3</v>
      </c>
      <c r="I157" s="1" t="s">
        <v>781</v>
      </c>
      <c r="J157" s="1" t="s">
        <v>804</v>
      </c>
      <c r="K157">
        <v>939</v>
      </c>
      <c r="L157">
        <v>472</v>
      </c>
      <c r="M157">
        <v>140</v>
      </c>
      <c r="N157">
        <v>85</v>
      </c>
      <c r="O157" s="2" t="s">
        <v>805</v>
      </c>
      <c r="P157">
        <v>0</v>
      </c>
      <c r="Q157" t="s">
        <v>806</v>
      </c>
      <c r="R157">
        <v>1</v>
      </c>
      <c r="S157" t="s">
        <v>807</v>
      </c>
      <c r="T157">
        <v>1</v>
      </c>
      <c r="U157" t="s">
        <v>808</v>
      </c>
      <c r="V157" t="s">
        <v>758</v>
      </c>
    </row>
    <row r="158" spans="1:22" hidden="1" x14ac:dyDescent="0.2">
      <c r="A158" t="s">
        <v>93</v>
      </c>
      <c r="B158" t="s">
        <v>750</v>
      </c>
      <c r="C158" t="s">
        <v>24</v>
      </c>
      <c r="D158" t="s">
        <v>751</v>
      </c>
      <c r="E158" t="s">
        <v>26</v>
      </c>
      <c r="F158" t="s">
        <v>94</v>
      </c>
      <c r="G158" t="s">
        <v>28</v>
      </c>
      <c r="H158">
        <v>1</v>
      </c>
      <c r="I158" s="1" t="s">
        <v>752</v>
      </c>
      <c r="J158" s="1" t="s">
        <v>809</v>
      </c>
      <c r="K158">
        <v>883</v>
      </c>
      <c r="L158">
        <v>436</v>
      </c>
      <c r="M158">
        <v>106</v>
      </c>
      <c r="N158">
        <v>72</v>
      </c>
      <c r="O158" s="2" t="s">
        <v>810</v>
      </c>
      <c r="P158">
        <v>1</v>
      </c>
      <c r="Q158" t="s">
        <v>811</v>
      </c>
      <c r="R158">
        <v>1</v>
      </c>
      <c r="S158" t="s">
        <v>812</v>
      </c>
      <c r="T158">
        <v>1</v>
      </c>
      <c r="U158" t="s">
        <v>813</v>
      </c>
      <c r="V158" t="s">
        <v>758</v>
      </c>
    </row>
    <row r="159" spans="1:22" hidden="1" x14ac:dyDescent="0.2">
      <c r="A159" t="s">
        <v>93</v>
      </c>
      <c r="B159" t="s">
        <v>750</v>
      </c>
      <c r="C159" t="s">
        <v>24</v>
      </c>
      <c r="D159" t="s">
        <v>751</v>
      </c>
      <c r="E159" t="s">
        <v>26</v>
      </c>
      <c r="F159" t="s">
        <v>94</v>
      </c>
      <c r="G159" t="s">
        <v>28</v>
      </c>
      <c r="H159">
        <v>2</v>
      </c>
      <c r="I159" s="1" t="s">
        <v>752</v>
      </c>
      <c r="J159" s="1" t="s">
        <v>814</v>
      </c>
      <c r="K159">
        <v>883</v>
      </c>
      <c r="L159">
        <v>436</v>
      </c>
      <c r="M159">
        <v>92</v>
      </c>
      <c r="N159">
        <v>56</v>
      </c>
      <c r="O159" s="2" t="s">
        <v>815</v>
      </c>
      <c r="P159">
        <v>1</v>
      </c>
      <c r="Q159" t="s">
        <v>816</v>
      </c>
      <c r="R159">
        <v>1</v>
      </c>
      <c r="S159" t="s">
        <v>817</v>
      </c>
      <c r="T159">
        <v>1</v>
      </c>
      <c r="U159" t="s">
        <v>818</v>
      </c>
      <c r="V159" t="s">
        <v>758</v>
      </c>
    </row>
    <row r="160" spans="1:22" hidden="1" x14ac:dyDescent="0.2">
      <c r="A160" t="s">
        <v>93</v>
      </c>
      <c r="B160" t="s">
        <v>750</v>
      </c>
      <c r="C160" t="s">
        <v>24</v>
      </c>
      <c r="D160" t="s">
        <v>751</v>
      </c>
      <c r="E160" t="s">
        <v>26</v>
      </c>
      <c r="F160" t="s">
        <v>94</v>
      </c>
      <c r="G160" t="s">
        <v>28</v>
      </c>
      <c r="H160">
        <v>3</v>
      </c>
      <c r="I160" s="1" t="s">
        <v>752</v>
      </c>
      <c r="J160" s="1" t="s">
        <v>819</v>
      </c>
      <c r="K160">
        <v>883</v>
      </c>
      <c r="L160">
        <v>436</v>
      </c>
      <c r="M160">
        <v>101</v>
      </c>
      <c r="N160">
        <v>65</v>
      </c>
      <c r="O160" s="2" t="s">
        <v>820</v>
      </c>
      <c r="P160">
        <v>1</v>
      </c>
      <c r="Q160" t="s">
        <v>821</v>
      </c>
      <c r="R160">
        <v>1</v>
      </c>
      <c r="S160" t="s">
        <v>822</v>
      </c>
      <c r="T160">
        <v>1</v>
      </c>
      <c r="U160" t="s">
        <v>823</v>
      </c>
      <c r="V160" t="s">
        <v>758</v>
      </c>
    </row>
    <row r="161" spans="1:22" hidden="1" x14ac:dyDescent="0.2">
      <c r="A161" t="s">
        <v>93</v>
      </c>
      <c r="B161" t="s">
        <v>750</v>
      </c>
      <c r="C161" t="s">
        <v>24</v>
      </c>
      <c r="D161" t="s">
        <v>751</v>
      </c>
      <c r="E161" t="s">
        <v>26</v>
      </c>
      <c r="F161" t="s">
        <v>110</v>
      </c>
      <c r="G161" t="s">
        <v>28</v>
      </c>
      <c r="H161">
        <v>1</v>
      </c>
      <c r="I161" s="1" t="s">
        <v>766</v>
      </c>
      <c r="J161" s="1" t="s">
        <v>824</v>
      </c>
      <c r="K161">
        <v>908</v>
      </c>
      <c r="L161">
        <v>450</v>
      </c>
      <c r="M161">
        <v>170</v>
      </c>
      <c r="N161">
        <v>119</v>
      </c>
      <c r="O161" s="2" t="s">
        <v>825</v>
      </c>
      <c r="P161">
        <v>1</v>
      </c>
      <c r="Q161" t="s">
        <v>826</v>
      </c>
      <c r="R161">
        <v>0</v>
      </c>
      <c r="S161" t="s">
        <v>827</v>
      </c>
      <c r="T161">
        <v>1</v>
      </c>
      <c r="U161" t="s">
        <v>828</v>
      </c>
      <c r="V161" t="s">
        <v>758</v>
      </c>
    </row>
    <row r="162" spans="1:22" hidden="1" x14ac:dyDescent="0.2">
      <c r="A162" t="s">
        <v>93</v>
      </c>
      <c r="B162" t="s">
        <v>750</v>
      </c>
      <c r="C162" t="s">
        <v>24</v>
      </c>
      <c r="D162" t="s">
        <v>751</v>
      </c>
      <c r="E162" t="s">
        <v>26</v>
      </c>
      <c r="F162" t="s">
        <v>110</v>
      </c>
      <c r="G162" t="s">
        <v>28</v>
      </c>
      <c r="H162">
        <v>2</v>
      </c>
      <c r="I162" s="1" t="s">
        <v>766</v>
      </c>
      <c r="J162" s="1" t="s">
        <v>829</v>
      </c>
      <c r="K162">
        <v>908</v>
      </c>
      <c r="L162">
        <v>450</v>
      </c>
      <c r="M162">
        <v>174</v>
      </c>
      <c r="N162">
        <v>120</v>
      </c>
      <c r="O162" s="2" t="s">
        <v>830</v>
      </c>
      <c r="P162">
        <v>1</v>
      </c>
      <c r="Q162" t="s">
        <v>831</v>
      </c>
      <c r="R162">
        <v>1</v>
      </c>
      <c r="S162" t="s">
        <v>832</v>
      </c>
      <c r="T162">
        <v>1</v>
      </c>
      <c r="U162" t="s">
        <v>616</v>
      </c>
      <c r="V162" t="s">
        <v>758</v>
      </c>
    </row>
    <row r="163" spans="1:22" hidden="1" x14ac:dyDescent="0.2">
      <c r="A163" t="s">
        <v>93</v>
      </c>
      <c r="B163" t="s">
        <v>750</v>
      </c>
      <c r="C163" t="s">
        <v>24</v>
      </c>
      <c r="D163" t="s">
        <v>751</v>
      </c>
      <c r="E163" t="s">
        <v>26</v>
      </c>
      <c r="F163" t="s">
        <v>110</v>
      </c>
      <c r="G163" t="s">
        <v>28</v>
      </c>
      <c r="H163">
        <v>3</v>
      </c>
      <c r="I163" s="1" t="s">
        <v>766</v>
      </c>
      <c r="J163" s="1" t="s">
        <v>833</v>
      </c>
      <c r="K163">
        <v>908</v>
      </c>
      <c r="L163">
        <v>450</v>
      </c>
      <c r="M163">
        <v>157</v>
      </c>
      <c r="N163">
        <v>105</v>
      </c>
      <c r="O163" s="2" t="s">
        <v>834</v>
      </c>
      <c r="P163">
        <v>1</v>
      </c>
      <c r="Q163" t="s">
        <v>835</v>
      </c>
      <c r="R163">
        <v>1</v>
      </c>
      <c r="S163" t="s">
        <v>836</v>
      </c>
      <c r="T163">
        <v>1</v>
      </c>
      <c r="U163" t="s">
        <v>339</v>
      </c>
      <c r="V163" t="s">
        <v>758</v>
      </c>
    </row>
    <row r="164" spans="1:22" hidden="1" x14ac:dyDescent="0.2">
      <c r="A164" t="s">
        <v>93</v>
      </c>
      <c r="B164" t="s">
        <v>750</v>
      </c>
      <c r="C164" t="s">
        <v>24</v>
      </c>
      <c r="D164" t="s">
        <v>751</v>
      </c>
      <c r="E164" t="s">
        <v>26</v>
      </c>
      <c r="F164" t="s">
        <v>125</v>
      </c>
      <c r="G164" t="s">
        <v>28</v>
      </c>
      <c r="H164">
        <v>1</v>
      </c>
      <c r="I164" s="1" t="s">
        <v>781</v>
      </c>
      <c r="J164" s="1" t="s">
        <v>837</v>
      </c>
      <c r="K164">
        <v>939</v>
      </c>
      <c r="L164">
        <v>472</v>
      </c>
      <c r="M164">
        <v>178</v>
      </c>
      <c r="N164">
        <v>118</v>
      </c>
      <c r="O164" s="2" t="s">
        <v>838</v>
      </c>
      <c r="P164">
        <v>1</v>
      </c>
      <c r="Q164" t="s">
        <v>839</v>
      </c>
      <c r="R164">
        <v>1</v>
      </c>
      <c r="S164" t="s">
        <v>840</v>
      </c>
      <c r="T164">
        <v>1</v>
      </c>
      <c r="U164" t="s">
        <v>109</v>
      </c>
      <c r="V164" t="s">
        <v>758</v>
      </c>
    </row>
    <row r="165" spans="1:22" hidden="1" x14ac:dyDescent="0.2">
      <c r="A165" t="s">
        <v>93</v>
      </c>
      <c r="B165" t="s">
        <v>750</v>
      </c>
      <c r="C165" t="s">
        <v>24</v>
      </c>
      <c r="D165" t="s">
        <v>751</v>
      </c>
      <c r="E165" t="s">
        <v>26</v>
      </c>
      <c r="F165" t="s">
        <v>125</v>
      </c>
      <c r="G165" t="s">
        <v>28</v>
      </c>
      <c r="H165">
        <v>2</v>
      </c>
      <c r="I165" s="1" t="s">
        <v>781</v>
      </c>
      <c r="J165" s="1" t="s">
        <v>841</v>
      </c>
      <c r="K165">
        <v>939</v>
      </c>
      <c r="L165">
        <v>472</v>
      </c>
      <c r="M165">
        <v>162</v>
      </c>
      <c r="N165">
        <v>105</v>
      </c>
      <c r="O165" s="2" t="s">
        <v>842</v>
      </c>
      <c r="P165">
        <v>1</v>
      </c>
      <c r="Q165" t="s">
        <v>843</v>
      </c>
      <c r="R165">
        <v>1</v>
      </c>
      <c r="S165" t="s">
        <v>844</v>
      </c>
      <c r="T165">
        <v>1</v>
      </c>
      <c r="U165" t="s">
        <v>109</v>
      </c>
      <c r="V165" t="s">
        <v>758</v>
      </c>
    </row>
    <row r="166" spans="1:22" hidden="1" x14ac:dyDescent="0.2">
      <c r="A166" t="s">
        <v>93</v>
      </c>
      <c r="B166" t="s">
        <v>750</v>
      </c>
      <c r="C166" t="s">
        <v>24</v>
      </c>
      <c r="D166" t="s">
        <v>751</v>
      </c>
      <c r="E166" t="s">
        <v>26</v>
      </c>
      <c r="F166" t="s">
        <v>125</v>
      </c>
      <c r="G166" t="s">
        <v>28</v>
      </c>
      <c r="H166">
        <v>3</v>
      </c>
      <c r="I166" s="1" t="s">
        <v>781</v>
      </c>
      <c r="J166" s="1" t="s">
        <v>845</v>
      </c>
      <c r="K166">
        <v>939</v>
      </c>
      <c r="L166">
        <v>472</v>
      </c>
      <c r="M166">
        <v>172</v>
      </c>
      <c r="N166">
        <v>106</v>
      </c>
      <c r="O166" s="2" t="s">
        <v>846</v>
      </c>
      <c r="P166">
        <v>1</v>
      </c>
      <c r="Q166" t="s">
        <v>847</v>
      </c>
      <c r="R166">
        <v>1</v>
      </c>
      <c r="S166" t="s">
        <v>848</v>
      </c>
      <c r="T166">
        <v>1</v>
      </c>
      <c r="U166" t="s">
        <v>339</v>
      </c>
      <c r="V166" t="s">
        <v>758</v>
      </c>
    </row>
    <row r="167" spans="1:22" hidden="1" x14ac:dyDescent="0.2">
      <c r="A167" t="s">
        <v>140</v>
      </c>
      <c r="B167" t="s">
        <v>750</v>
      </c>
      <c r="C167" t="s">
        <v>24</v>
      </c>
      <c r="D167" t="s">
        <v>751</v>
      </c>
      <c r="E167" t="s">
        <v>26</v>
      </c>
      <c r="F167" t="s">
        <v>141</v>
      </c>
      <c r="G167" t="s">
        <v>28</v>
      </c>
      <c r="H167">
        <v>1</v>
      </c>
      <c r="I167" s="1" t="s">
        <v>849</v>
      </c>
      <c r="J167" t="s">
        <v>850</v>
      </c>
      <c r="K167">
        <v>847</v>
      </c>
      <c r="L167">
        <v>421</v>
      </c>
      <c r="M167">
        <v>811</v>
      </c>
      <c r="N167">
        <v>25</v>
      </c>
      <c r="O167" s="2" t="s">
        <v>851</v>
      </c>
      <c r="P167">
        <v>1</v>
      </c>
      <c r="Q167" t="s">
        <v>852</v>
      </c>
      <c r="R167">
        <v>1</v>
      </c>
      <c r="S167" t="s">
        <v>853</v>
      </c>
      <c r="T167">
        <v>1</v>
      </c>
      <c r="U167" t="s">
        <v>854</v>
      </c>
      <c r="V167" t="s">
        <v>758</v>
      </c>
    </row>
    <row r="168" spans="1:22" hidden="1" x14ac:dyDescent="0.2">
      <c r="A168" t="s">
        <v>140</v>
      </c>
      <c r="B168" t="s">
        <v>750</v>
      </c>
      <c r="C168" t="s">
        <v>24</v>
      </c>
      <c r="D168" t="s">
        <v>751</v>
      </c>
      <c r="E168" t="s">
        <v>26</v>
      </c>
      <c r="F168" t="s">
        <v>141</v>
      </c>
      <c r="G168" t="s">
        <v>28</v>
      </c>
      <c r="H168">
        <v>2</v>
      </c>
      <c r="I168" s="1" t="s">
        <v>849</v>
      </c>
      <c r="J168" t="s">
        <v>855</v>
      </c>
      <c r="K168">
        <v>847</v>
      </c>
      <c r="L168">
        <v>421</v>
      </c>
      <c r="M168">
        <v>487</v>
      </c>
      <c r="N168">
        <v>21</v>
      </c>
      <c r="O168" s="2" t="s">
        <v>856</v>
      </c>
      <c r="P168">
        <v>1</v>
      </c>
      <c r="Q168" t="s">
        <v>857</v>
      </c>
      <c r="R168">
        <v>1</v>
      </c>
      <c r="S168" t="s">
        <v>858</v>
      </c>
      <c r="T168">
        <v>1</v>
      </c>
      <c r="U168" t="s">
        <v>859</v>
      </c>
      <c r="V168" t="s">
        <v>758</v>
      </c>
    </row>
    <row r="169" spans="1:22" hidden="1" x14ac:dyDescent="0.2">
      <c r="A169" t="s">
        <v>140</v>
      </c>
      <c r="B169" t="s">
        <v>750</v>
      </c>
      <c r="C169" t="s">
        <v>24</v>
      </c>
      <c r="D169" t="s">
        <v>751</v>
      </c>
      <c r="E169" t="s">
        <v>26</v>
      </c>
      <c r="F169" t="s">
        <v>141</v>
      </c>
      <c r="G169" t="s">
        <v>28</v>
      </c>
      <c r="H169">
        <v>3</v>
      </c>
      <c r="I169" s="1" t="s">
        <v>849</v>
      </c>
      <c r="J169" t="s">
        <v>860</v>
      </c>
      <c r="K169">
        <v>847</v>
      </c>
      <c r="L169">
        <v>421</v>
      </c>
      <c r="M169">
        <v>430</v>
      </c>
      <c r="N169">
        <v>27</v>
      </c>
      <c r="O169" s="2" t="s">
        <v>861</v>
      </c>
      <c r="P169">
        <v>1</v>
      </c>
      <c r="Q169" t="s">
        <v>862</v>
      </c>
      <c r="R169">
        <v>0</v>
      </c>
      <c r="S169" t="s">
        <v>863</v>
      </c>
      <c r="T169">
        <v>1</v>
      </c>
      <c r="U169" t="s">
        <v>864</v>
      </c>
      <c r="V169" t="s">
        <v>758</v>
      </c>
    </row>
    <row r="170" spans="1:22" hidden="1" x14ac:dyDescent="0.2">
      <c r="A170" t="s">
        <v>22</v>
      </c>
      <c r="B170" t="s">
        <v>750</v>
      </c>
      <c r="C170" t="s">
        <v>24</v>
      </c>
      <c r="D170" t="s">
        <v>865</v>
      </c>
      <c r="E170" t="s">
        <v>26</v>
      </c>
      <c r="F170" t="s">
        <v>27</v>
      </c>
      <c r="G170" t="s">
        <v>28</v>
      </c>
      <c r="H170">
        <v>1</v>
      </c>
      <c r="I170" s="1" t="s">
        <v>866</v>
      </c>
      <c r="J170" s="1" t="s">
        <v>867</v>
      </c>
      <c r="K170">
        <v>856</v>
      </c>
      <c r="L170">
        <v>418</v>
      </c>
      <c r="M170">
        <v>117</v>
      </c>
      <c r="N170">
        <v>72</v>
      </c>
      <c r="O170" s="2" t="s">
        <v>868</v>
      </c>
      <c r="P170">
        <v>1</v>
      </c>
      <c r="Q170" t="s">
        <v>869</v>
      </c>
      <c r="R170">
        <v>0</v>
      </c>
      <c r="S170" t="s">
        <v>870</v>
      </c>
      <c r="T170">
        <v>1</v>
      </c>
      <c r="U170" t="s">
        <v>871</v>
      </c>
      <c r="V170" t="s">
        <v>872</v>
      </c>
    </row>
    <row r="171" spans="1:22" hidden="1" x14ac:dyDescent="0.2">
      <c r="A171" t="s">
        <v>22</v>
      </c>
      <c r="B171" t="s">
        <v>750</v>
      </c>
      <c r="C171" t="s">
        <v>24</v>
      </c>
      <c r="D171" t="s">
        <v>865</v>
      </c>
      <c r="E171" t="s">
        <v>26</v>
      </c>
      <c r="F171" t="s">
        <v>27</v>
      </c>
      <c r="G171" t="s">
        <v>28</v>
      </c>
      <c r="H171">
        <v>2</v>
      </c>
      <c r="I171" s="1" t="s">
        <v>866</v>
      </c>
      <c r="J171" s="1" t="s">
        <v>873</v>
      </c>
      <c r="K171">
        <v>856</v>
      </c>
      <c r="L171">
        <v>418</v>
      </c>
      <c r="M171">
        <v>130</v>
      </c>
      <c r="N171">
        <v>78</v>
      </c>
      <c r="O171" s="2" t="s">
        <v>874</v>
      </c>
      <c r="P171">
        <v>1</v>
      </c>
      <c r="Q171" t="s">
        <v>875</v>
      </c>
      <c r="R171">
        <v>1</v>
      </c>
      <c r="S171" t="s">
        <v>876</v>
      </c>
      <c r="T171">
        <v>1</v>
      </c>
      <c r="U171" t="s">
        <v>877</v>
      </c>
      <c r="V171" t="s">
        <v>872</v>
      </c>
    </row>
    <row r="172" spans="1:22" hidden="1" x14ac:dyDescent="0.2">
      <c r="A172" t="s">
        <v>22</v>
      </c>
      <c r="B172" t="s">
        <v>750</v>
      </c>
      <c r="C172" t="s">
        <v>24</v>
      </c>
      <c r="D172" t="s">
        <v>865</v>
      </c>
      <c r="E172" t="s">
        <v>26</v>
      </c>
      <c r="F172" t="s">
        <v>27</v>
      </c>
      <c r="G172" t="s">
        <v>28</v>
      </c>
      <c r="H172">
        <v>3</v>
      </c>
      <c r="I172" s="1" t="s">
        <v>866</v>
      </c>
      <c r="J172" s="1" t="s">
        <v>878</v>
      </c>
      <c r="K172">
        <v>856</v>
      </c>
      <c r="L172">
        <v>418</v>
      </c>
      <c r="M172">
        <v>123</v>
      </c>
      <c r="N172">
        <v>66</v>
      </c>
      <c r="O172" s="2" t="s">
        <v>879</v>
      </c>
      <c r="P172">
        <v>1</v>
      </c>
      <c r="Q172" t="s">
        <v>880</v>
      </c>
      <c r="R172">
        <v>0</v>
      </c>
      <c r="S172" t="s">
        <v>881</v>
      </c>
      <c r="T172">
        <v>1</v>
      </c>
      <c r="U172" t="s">
        <v>82</v>
      </c>
      <c r="V172" t="s">
        <v>872</v>
      </c>
    </row>
    <row r="173" spans="1:22" hidden="1" x14ac:dyDescent="0.2">
      <c r="A173" t="s">
        <v>22</v>
      </c>
      <c r="B173" t="s">
        <v>750</v>
      </c>
      <c r="C173" t="s">
        <v>24</v>
      </c>
      <c r="D173" t="s">
        <v>865</v>
      </c>
      <c r="E173" t="s">
        <v>26</v>
      </c>
      <c r="F173" t="s">
        <v>46</v>
      </c>
      <c r="G173" t="s">
        <v>28</v>
      </c>
      <c r="H173">
        <v>1</v>
      </c>
      <c r="I173" s="1" t="s">
        <v>882</v>
      </c>
      <c r="J173" s="1" t="s">
        <v>883</v>
      </c>
      <c r="K173">
        <v>884</v>
      </c>
      <c r="L173">
        <v>432</v>
      </c>
      <c r="M173">
        <v>217</v>
      </c>
      <c r="N173">
        <v>140</v>
      </c>
      <c r="O173" s="2" t="s">
        <v>884</v>
      </c>
      <c r="P173">
        <v>1</v>
      </c>
      <c r="Q173" t="s">
        <v>885</v>
      </c>
      <c r="R173">
        <v>1</v>
      </c>
      <c r="S173" t="s">
        <v>886</v>
      </c>
      <c r="T173">
        <v>1</v>
      </c>
      <c r="U173" t="s">
        <v>887</v>
      </c>
      <c r="V173" t="s">
        <v>872</v>
      </c>
    </row>
    <row r="174" spans="1:22" hidden="1" x14ac:dyDescent="0.2">
      <c r="A174" t="s">
        <v>22</v>
      </c>
      <c r="B174" t="s">
        <v>750</v>
      </c>
      <c r="C174" t="s">
        <v>24</v>
      </c>
      <c r="D174" t="s">
        <v>865</v>
      </c>
      <c r="E174" t="s">
        <v>26</v>
      </c>
      <c r="F174" t="s">
        <v>46</v>
      </c>
      <c r="G174" t="s">
        <v>28</v>
      </c>
      <c r="H174">
        <v>2</v>
      </c>
      <c r="I174" s="1" t="s">
        <v>882</v>
      </c>
      <c r="J174" s="1" t="s">
        <v>888</v>
      </c>
      <c r="K174">
        <v>884</v>
      </c>
      <c r="L174">
        <v>432</v>
      </c>
      <c r="M174">
        <v>196</v>
      </c>
      <c r="N174">
        <v>126</v>
      </c>
      <c r="O174" s="2" t="s">
        <v>889</v>
      </c>
      <c r="P174">
        <v>1</v>
      </c>
      <c r="Q174" t="s">
        <v>890</v>
      </c>
      <c r="R174">
        <v>0</v>
      </c>
      <c r="S174" t="s">
        <v>891</v>
      </c>
      <c r="T174">
        <v>1</v>
      </c>
      <c r="U174" t="s">
        <v>892</v>
      </c>
      <c r="V174" t="s">
        <v>872</v>
      </c>
    </row>
    <row r="175" spans="1:22" hidden="1" x14ac:dyDescent="0.2">
      <c r="A175" t="s">
        <v>22</v>
      </c>
      <c r="B175" t="s">
        <v>750</v>
      </c>
      <c r="C175" t="s">
        <v>24</v>
      </c>
      <c r="D175" t="s">
        <v>865</v>
      </c>
      <c r="E175" t="s">
        <v>26</v>
      </c>
      <c r="F175" t="s">
        <v>46</v>
      </c>
      <c r="G175" t="s">
        <v>28</v>
      </c>
      <c r="H175">
        <v>3</v>
      </c>
      <c r="I175" s="1" t="s">
        <v>882</v>
      </c>
      <c r="J175" s="1" t="s">
        <v>893</v>
      </c>
      <c r="K175">
        <v>884</v>
      </c>
      <c r="L175">
        <v>432</v>
      </c>
      <c r="M175">
        <v>208</v>
      </c>
      <c r="N175">
        <v>131</v>
      </c>
      <c r="O175">
        <v>4.6068539619445801</v>
      </c>
      <c r="P175">
        <v>1</v>
      </c>
      <c r="Q175" t="s">
        <v>894</v>
      </c>
      <c r="R175">
        <v>1</v>
      </c>
      <c r="S175" t="s">
        <v>895</v>
      </c>
      <c r="T175">
        <v>1</v>
      </c>
      <c r="U175" t="s">
        <v>896</v>
      </c>
      <c r="V175" t="s">
        <v>872</v>
      </c>
    </row>
    <row r="176" spans="1:22" hidden="1" x14ac:dyDescent="0.2">
      <c r="A176" t="s">
        <v>22</v>
      </c>
      <c r="B176" t="s">
        <v>750</v>
      </c>
      <c r="C176" t="s">
        <v>24</v>
      </c>
      <c r="D176" t="s">
        <v>865</v>
      </c>
      <c r="E176" t="s">
        <v>26</v>
      </c>
      <c r="F176" t="s">
        <v>61</v>
      </c>
      <c r="G176" t="s">
        <v>28</v>
      </c>
      <c r="H176">
        <v>1</v>
      </c>
      <c r="I176" s="1" t="s">
        <v>897</v>
      </c>
      <c r="J176" s="1" t="s">
        <v>898</v>
      </c>
      <c r="K176">
        <v>919</v>
      </c>
      <c r="L176">
        <v>454</v>
      </c>
      <c r="M176">
        <v>194</v>
      </c>
      <c r="N176">
        <v>106</v>
      </c>
      <c r="O176" s="2" t="s">
        <v>899</v>
      </c>
      <c r="P176">
        <v>1</v>
      </c>
      <c r="Q176" t="s">
        <v>900</v>
      </c>
      <c r="R176">
        <v>1</v>
      </c>
      <c r="S176" t="s">
        <v>901</v>
      </c>
      <c r="T176">
        <v>1</v>
      </c>
      <c r="U176" t="s">
        <v>902</v>
      </c>
      <c r="V176" t="s">
        <v>872</v>
      </c>
    </row>
    <row r="177" spans="1:22" hidden="1" x14ac:dyDescent="0.2">
      <c r="A177" t="s">
        <v>22</v>
      </c>
      <c r="B177" t="s">
        <v>750</v>
      </c>
      <c r="C177" t="s">
        <v>24</v>
      </c>
      <c r="D177" t="s">
        <v>865</v>
      </c>
      <c r="E177" t="s">
        <v>26</v>
      </c>
      <c r="F177" t="s">
        <v>61</v>
      </c>
      <c r="G177" t="s">
        <v>28</v>
      </c>
      <c r="H177">
        <v>2</v>
      </c>
      <c r="I177" s="1" t="s">
        <v>897</v>
      </c>
      <c r="J177" s="1" t="s">
        <v>903</v>
      </c>
      <c r="K177">
        <v>919</v>
      </c>
      <c r="L177">
        <v>454</v>
      </c>
      <c r="M177">
        <v>208</v>
      </c>
      <c r="N177">
        <v>124</v>
      </c>
      <c r="O177" s="2" t="s">
        <v>904</v>
      </c>
      <c r="P177">
        <v>1</v>
      </c>
      <c r="Q177" t="s">
        <v>905</v>
      </c>
      <c r="R177">
        <v>0</v>
      </c>
      <c r="S177" t="s">
        <v>906</v>
      </c>
      <c r="T177">
        <v>1</v>
      </c>
      <c r="U177" t="s">
        <v>665</v>
      </c>
      <c r="V177" t="s">
        <v>872</v>
      </c>
    </row>
    <row r="178" spans="1:22" hidden="1" x14ac:dyDescent="0.2">
      <c r="A178" t="s">
        <v>22</v>
      </c>
      <c r="B178" t="s">
        <v>750</v>
      </c>
      <c r="C178" t="s">
        <v>24</v>
      </c>
      <c r="D178" t="s">
        <v>865</v>
      </c>
      <c r="E178" t="s">
        <v>26</v>
      </c>
      <c r="F178" t="s">
        <v>61</v>
      </c>
      <c r="G178" t="s">
        <v>28</v>
      </c>
      <c r="H178">
        <v>3</v>
      </c>
      <c r="I178" s="1" t="s">
        <v>897</v>
      </c>
      <c r="J178" s="1" t="s">
        <v>907</v>
      </c>
      <c r="K178">
        <v>919</v>
      </c>
      <c r="L178">
        <v>454</v>
      </c>
      <c r="M178">
        <v>195</v>
      </c>
      <c r="N178">
        <v>110</v>
      </c>
      <c r="O178" s="2" t="s">
        <v>908</v>
      </c>
      <c r="P178">
        <v>0</v>
      </c>
      <c r="Q178" t="s">
        <v>909</v>
      </c>
      <c r="R178">
        <v>1</v>
      </c>
      <c r="S178" t="s">
        <v>910</v>
      </c>
      <c r="T178">
        <v>1</v>
      </c>
      <c r="U178" t="s">
        <v>425</v>
      </c>
      <c r="V178" t="s">
        <v>872</v>
      </c>
    </row>
    <row r="179" spans="1:22" hidden="1" x14ac:dyDescent="0.2">
      <c r="A179" t="s">
        <v>76</v>
      </c>
      <c r="B179" t="s">
        <v>750</v>
      </c>
      <c r="C179" t="s">
        <v>24</v>
      </c>
      <c r="D179" t="s">
        <v>865</v>
      </c>
      <c r="E179" t="s">
        <v>26</v>
      </c>
      <c r="F179" t="s">
        <v>77</v>
      </c>
      <c r="G179" t="s">
        <v>28</v>
      </c>
      <c r="H179">
        <v>1</v>
      </c>
      <c r="I179" s="1" t="s">
        <v>897</v>
      </c>
      <c r="J179" s="1" t="s">
        <v>911</v>
      </c>
      <c r="K179">
        <v>805</v>
      </c>
      <c r="L179">
        <v>454</v>
      </c>
      <c r="M179">
        <v>155</v>
      </c>
      <c r="N179">
        <v>101</v>
      </c>
      <c r="O179" s="2" t="s">
        <v>912</v>
      </c>
      <c r="P179">
        <v>0</v>
      </c>
      <c r="Q179" t="s">
        <v>913</v>
      </c>
      <c r="R179">
        <v>1</v>
      </c>
      <c r="S179" t="s">
        <v>914</v>
      </c>
      <c r="T179">
        <v>1</v>
      </c>
      <c r="U179" t="s">
        <v>449</v>
      </c>
      <c r="V179" t="s">
        <v>872</v>
      </c>
    </row>
    <row r="180" spans="1:22" hidden="1" x14ac:dyDescent="0.2">
      <c r="A180" t="s">
        <v>76</v>
      </c>
      <c r="B180" t="s">
        <v>750</v>
      </c>
      <c r="C180" t="s">
        <v>24</v>
      </c>
      <c r="D180" t="s">
        <v>865</v>
      </c>
      <c r="E180" t="s">
        <v>26</v>
      </c>
      <c r="F180" t="s">
        <v>77</v>
      </c>
      <c r="G180" t="s">
        <v>28</v>
      </c>
      <c r="H180">
        <v>2</v>
      </c>
      <c r="I180" s="1" t="s">
        <v>897</v>
      </c>
      <c r="J180" s="1" t="s">
        <v>915</v>
      </c>
      <c r="K180">
        <v>805</v>
      </c>
      <c r="L180">
        <v>454</v>
      </c>
      <c r="M180">
        <v>146</v>
      </c>
      <c r="N180">
        <v>92</v>
      </c>
      <c r="O180" s="2" t="s">
        <v>916</v>
      </c>
      <c r="P180">
        <v>0</v>
      </c>
      <c r="Q180" t="s">
        <v>917</v>
      </c>
      <c r="R180">
        <v>1</v>
      </c>
      <c r="S180" t="s">
        <v>918</v>
      </c>
      <c r="T180">
        <v>1</v>
      </c>
      <c r="U180" t="s">
        <v>339</v>
      </c>
      <c r="V180" t="s">
        <v>872</v>
      </c>
    </row>
    <row r="181" spans="1:22" hidden="1" x14ac:dyDescent="0.2">
      <c r="A181" t="s">
        <v>76</v>
      </c>
      <c r="B181" t="s">
        <v>750</v>
      </c>
      <c r="C181" t="s">
        <v>24</v>
      </c>
      <c r="D181" t="s">
        <v>865</v>
      </c>
      <c r="E181" t="s">
        <v>26</v>
      </c>
      <c r="F181" t="s">
        <v>77</v>
      </c>
      <c r="G181" t="s">
        <v>28</v>
      </c>
      <c r="H181">
        <v>3</v>
      </c>
      <c r="I181" s="1" t="s">
        <v>897</v>
      </c>
      <c r="J181" s="1" t="s">
        <v>919</v>
      </c>
      <c r="K181">
        <v>805</v>
      </c>
      <c r="L181">
        <v>454</v>
      </c>
      <c r="M181">
        <v>147</v>
      </c>
      <c r="N181">
        <v>93</v>
      </c>
      <c r="O181" s="2" t="s">
        <v>920</v>
      </c>
      <c r="P181">
        <v>0</v>
      </c>
      <c r="Q181" t="s">
        <v>921</v>
      </c>
      <c r="R181">
        <v>1</v>
      </c>
      <c r="S181" t="s">
        <v>922</v>
      </c>
      <c r="T181">
        <v>1</v>
      </c>
      <c r="U181" t="s">
        <v>109</v>
      </c>
      <c r="V181" t="s">
        <v>872</v>
      </c>
    </row>
    <row r="182" spans="1:22" hidden="1" x14ac:dyDescent="0.2">
      <c r="A182" t="s">
        <v>93</v>
      </c>
      <c r="B182" t="s">
        <v>750</v>
      </c>
      <c r="C182" t="s">
        <v>24</v>
      </c>
      <c r="D182" t="s">
        <v>865</v>
      </c>
      <c r="E182" t="s">
        <v>26</v>
      </c>
      <c r="F182" t="s">
        <v>94</v>
      </c>
      <c r="G182" t="s">
        <v>28</v>
      </c>
      <c r="H182">
        <v>1</v>
      </c>
      <c r="I182" s="1" t="s">
        <v>866</v>
      </c>
      <c r="J182" s="1" t="s">
        <v>923</v>
      </c>
      <c r="K182">
        <v>749</v>
      </c>
      <c r="L182">
        <v>418</v>
      </c>
      <c r="M182">
        <v>115</v>
      </c>
      <c r="N182">
        <v>80</v>
      </c>
      <c r="O182" s="2" t="s">
        <v>924</v>
      </c>
      <c r="P182">
        <v>1</v>
      </c>
      <c r="Q182" t="s">
        <v>925</v>
      </c>
      <c r="R182">
        <v>0</v>
      </c>
      <c r="S182" t="s">
        <v>926</v>
      </c>
      <c r="T182">
        <v>1</v>
      </c>
      <c r="U182" t="s">
        <v>330</v>
      </c>
      <c r="V182" t="s">
        <v>872</v>
      </c>
    </row>
    <row r="183" spans="1:22" hidden="1" x14ac:dyDescent="0.2">
      <c r="A183" t="s">
        <v>93</v>
      </c>
      <c r="B183" t="s">
        <v>750</v>
      </c>
      <c r="C183" t="s">
        <v>24</v>
      </c>
      <c r="D183" t="s">
        <v>865</v>
      </c>
      <c r="E183" t="s">
        <v>26</v>
      </c>
      <c r="F183" t="s">
        <v>94</v>
      </c>
      <c r="G183" t="s">
        <v>28</v>
      </c>
      <c r="H183">
        <v>2</v>
      </c>
      <c r="I183" s="1" t="s">
        <v>866</v>
      </c>
      <c r="J183" s="1" t="s">
        <v>927</v>
      </c>
      <c r="K183">
        <v>749</v>
      </c>
      <c r="L183">
        <v>418</v>
      </c>
      <c r="M183">
        <v>124</v>
      </c>
      <c r="N183">
        <v>86</v>
      </c>
      <c r="O183" s="2" t="s">
        <v>928</v>
      </c>
      <c r="P183">
        <v>0</v>
      </c>
      <c r="Q183" t="s">
        <v>929</v>
      </c>
      <c r="R183">
        <v>1</v>
      </c>
      <c r="S183" t="s">
        <v>930</v>
      </c>
      <c r="T183">
        <v>1</v>
      </c>
      <c r="U183" t="s">
        <v>931</v>
      </c>
      <c r="V183" t="s">
        <v>872</v>
      </c>
    </row>
    <row r="184" spans="1:22" hidden="1" x14ac:dyDescent="0.2">
      <c r="A184" t="s">
        <v>93</v>
      </c>
      <c r="B184" t="s">
        <v>750</v>
      </c>
      <c r="C184" t="s">
        <v>24</v>
      </c>
      <c r="D184" t="s">
        <v>865</v>
      </c>
      <c r="E184" t="s">
        <v>26</v>
      </c>
      <c r="F184" t="s">
        <v>94</v>
      </c>
      <c r="G184" t="s">
        <v>28</v>
      </c>
      <c r="H184">
        <v>3</v>
      </c>
      <c r="I184" s="1" t="s">
        <v>866</v>
      </c>
      <c r="J184" s="1" t="s">
        <v>932</v>
      </c>
      <c r="K184">
        <v>749</v>
      </c>
      <c r="L184">
        <v>418</v>
      </c>
      <c r="M184">
        <v>93</v>
      </c>
      <c r="N184">
        <v>60</v>
      </c>
      <c r="O184">
        <v>1.56201171875</v>
      </c>
      <c r="P184">
        <v>0</v>
      </c>
      <c r="Q184" t="s">
        <v>933</v>
      </c>
      <c r="R184">
        <v>1</v>
      </c>
      <c r="S184" t="s">
        <v>934</v>
      </c>
      <c r="T184">
        <v>1</v>
      </c>
      <c r="U184" t="s">
        <v>82</v>
      </c>
      <c r="V184" t="s">
        <v>872</v>
      </c>
    </row>
    <row r="185" spans="1:22" x14ac:dyDescent="0.2">
      <c r="A185" t="s">
        <v>93</v>
      </c>
      <c r="B185" t="s">
        <v>750</v>
      </c>
      <c r="C185" t="s">
        <v>24</v>
      </c>
      <c r="D185" t="s">
        <v>865</v>
      </c>
      <c r="E185" t="s">
        <v>26</v>
      </c>
      <c r="F185" t="s">
        <v>110</v>
      </c>
      <c r="G185" t="s">
        <v>28</v>
      </c>
      <c r="H185">
        <v>1</v>
      </c>
      <c r="I185" s="1" t="s">
        <v>882</v>
      </c>
      <c r="J185" s="1" t="s">
        <v>935</v>
      </c>
      <c r="K185">
        <v>774</v>
      </c>
      <c r="L185">
        <v>432</v>
      </c>
      <c r="M185">
        <v>178</v>
      </c>
      <c r="N185">
        <v>124</v>
      </c>
      <c r="O185" s="2" t="s">
        <v>936</v>
      </c>
      <c r="P185">
        <v>0</v>
      </c>
      <c r="Q185" t="s">
        <v>937</v>
      </c>
      <c r="R185">
        <v>1</v>
      </c>
      <c r="S185" t="s">
        <v>938</v>
      </c>
      <c r="T185">
        <v>1</v>
      </c>
      <c r="U185" t="s">
        <v>939</v>
      </c>
      <c r="V185" t="s">
        <v>872</v>
      </c>
    </row>
    <row r="186" spans="1:22" hidden="1" x14ac:dyDescent="0.2">
      <c r="A186" t="s">
        <v>93</v>
      </c>
      <c r="B186" t="s">
        <v>750</v>
      </c>
      <c r="C186" t="s">
        <v>24</v>
      </c>
      <c r="D186" t="s">
        <v>865</v>
      </c>
      <c r="E186" t="s">
        <v>26</v>
      </c>
      <c r="F186" t="s">
        <v>110</v>
      </c>
      <c r="G186" t="s">
        <v>28</v>
      </c>
      <c r="H186">
        <v>2</v>
      </c>
      <c r="I186" s="1" t="s">
        <v>882</v>
      </c>
      <c r="J186" s="1" t="s">
        <v>940</v>
      </c>
      <c r="K186">
        <v>774</v>
      </c>
      <c r="L186">
        <v>432</v>
      </c>
      <c r="M186">
        <v>176</v>
      </c>
      <c r="N186">
        <v>125</v>
      </c>
      <c r="O186" s="2" t="s">
        <v>941</v>
      </c>
      <c r="P186">
        <v>1</v>
      </c>
      <c r="Q186" t="s">
        <v>942</v>
      </c>
      <c r="R186">
        <v>1</v>
      </c>
      <c r="S186" t="s">
        <v>943</v>
      </c>
      <c r="T186">
        <v>1</v>
      </c>
      <c r="U186" t="s">
        <v>82</v>
      </c>
      <c r="V186" t="s">
        <v>872</v>
      </c>
    </row>
    <row r="187" spans="1:22" x14ac:dyDescent="0.2">
      <c r="A187" t="s">
        <v>93</v>
      </c>
      <c r="B187" t="s">
        <v>750</v>
      </c>
      <c r="C187" t="s">
        <v>24</v>
      </c>
      <c r="D187" t="s">
        <v>865</v>
      </c>
      <c r="E187" t="s">
        <v>26</v>
      </c>
      <c r="F187" t="s">
        <v>110</v>
      </c>
      <c r="G187" t="s">
        <v>28</v>
      </c>
      <c r="H187">
        <v>3</v>
      </c>
      <c r="I187" s="1" t="s">
        <v>882</v>
      </c>
      <c r="J187" s="1" t="s">
        <v>944</v>
      </c>
      <c r="K187">
        <v>774</v>
      </c>
      <c r="L187">
        <v>432</v>
      </c>
      <c r="M187">
        <v>178</v>
      </c>
      <c r="N187">
        <v>128</v>
      </c>
      <c r="O187" s="2" t="s">
        <v>945</v>
      </c>
      <c r="P187">
        <v>0</v>
      </c>
      <c r="Q187" t="s">
        <v>946</v>
      </c>
      <c r="R187">
        <v>1</v>
      </c>
      <c r="S187" t="s">
        <v>947</v>
      </c>
      <c r="T187">
        <v>1</v>
      </c>
      <c r="U187" t="s">
        <v>948</v>
      </c>
      <c r="V187" t="s">
        <v>872</v>
      </c>
    </row>
    <row r="188" spans="1:22" hidden="1" x14ac:dyDescent="0.2">
      <c r="A188" t="s">
        <v>93</v>
      </c>
      <c r="B188" t="s">
        <v>750</v>
      </c>
      <c r="C188" t="s">
        <v>24</v>
      </c>
      <c r="D188" t="s">
        <v>865</v>
      </c>
      <c r="E188" t="s">
        <v>26</v>
      </c>
      <c r="F188" t="s">
        <v>125</v>
      </c>
      <c r="G188" t="s">
        <v>28</v>
      </c>
      <c r="H188">
        <v>1</v>
      </c>
      <c r="I188" s="1" t="s">
        <v>897</v>
      </c>
      <c r="J188" s="1" t="s">
        <v>949</v>
      </c>
      <c r="K188">
        <v>805</v>
      </c>
      <c r="L188">
        <v>454</v>
      </c>
      <c r="M188">
        <v>145</v>
      </c>
      <c r="N188">
        <v>91</v>
      </c>
      <c r="O188" s="2" t="s">
        <v>950</v>
      </c>
      <c r="P188">
        <v>0</v>
      </c>
      <c r="Q188" t="s">
        <v>951</v>
      </c>
      <c r="R188">
        <v>1</v>
      </c>
      <c r="S188" t="s">
        <v>952</v>
      </c>
      <c r="T188">
        <v>1</v>
      </c>
      <c r="U188" t="s">
        <v>616</v>
      </c>
      <c r="V188" t="s">
        <v>872</v>
      </c>
    </row>
    <row r="189" spans="1:22" hidden="1" x14ac:dyDescent="0.2">
      <c r="A189" t="s">
        <v>93</v>
      </c>
      <c r="B189" t="s">
        <v>750</v>
      </c>
      <c r="C189" t="s">
        <v>24</v>
      </c>
      <c r="D189" t="s">
        <v>865</v>
      </c>
      <c r="E189" t="s">
        <v>26</v>
      </c>
      <c r="F189" t="s">
        <v>125</v>
      </c>
      <c r="G189" t="s">
        <v>28</v>
      </c>
      <c r="H189">
        <v>2</v>
      </c>
      <c r="I189" s="1" t="s">
        <v>897</v>
      </c>
      <c r="J189" s="1" t="s">
        <v>953</v>
      </c>
      <c r="K189">
        <v>805</v>
      </c>
      <c r="L189">
        <v>454</v>
      </c>
      <c r="M189">
        <v>186</v>
      </c>
      <c r="N189">
        <v>130</v>
      </c>
      <c r="O189" s="2" t="s">
        <v>954</v>
      </c>
      <c r="P189">
        <v>0</v>
      </c>
      <c r="Q189" t="s">
        <v>955</v>
      </c>
      <c r="R189">
        <v>1</v>
      </c>
      <c r="S189" t="s">
        <v>956</v>
      </c>
      <c r="T189">
        <v>1</v>
      </c>
      <c r="U189" t="s">
        <v>957</v>
      </c>
      <c r="V189" t="s">
        <v>872</v>
      </c>
    </row>
    <row r="190" spans="1:22" hidden="1" x14ac:dyDescent="0.2">
      <c r="A190" t="s">
        <v>93</v>
      </c>
      <c r="B190" t="s">
        <v>750</v>
      </c>
      <c r="C190" t="s">
        <v>24</v>
      </c>
      <c r="D190" t="s">
        <v>865</v>
      </c>
      <c r="E190" t="s">
        <v>26</v>
      </c>
      <c r="F190" t="s">
        <v>125</v>
      </c>
      <c r="G190" t="s">
        <v>28</v>
      </c>
      <c r="H190">
        <v>3</v>
      </c>
      <c r="I190" s="1" t="s">
        <v>897</v>
      </c>
      <c r="J190" s="1" t="s">
        <v>958</v>
      </c>
      <c r="K190">
        <v>805</v>
      </c>
      <c r="L190">
        <v>454</v>
      </c>
      <c r="M190">
        <v>147</v>
      </c>
      <c r="N190">
        <v>93</v>
      </c>
      <c r="O190" s="2" t="s">
        <v>959</v>
      </c>
      <c r="P190">
        <v>1</v>
      </c>
      <c r="Q190" t="s">
        <v>960</v>
      </c>
      <c r="R190">
        <v>1</v>
      </c>
      <c r="S190" t="s">
        <v>961</v>
      </c>
      <c r="T190">
        <v>1</v>
      </c>
      <c r="U190" t="s">
        <v>665</v>
      </c>
      <c r="V190" t="s">
        <v>872</v>
      </c>
    </row>
    <row r="191" spans="1:22" hidden="1" x14ac:dyDescent="0.2">
      <c r="A191" t="s">
        <v>140</v>
      </c>
      <c r="B191" t="s">
        <v>750</v>
      </c>
      <c r="C191" t="s">
        <v>24</v>
      </c>
      <c r="D191" t="s">
        <v>865</v>
      </c>
      <c r="E191" t="s">
        <v>26</v>
      </c>
      <c r="F191" t="s">
        <v>141</v>
      </c>
      <c r="G191" t="s">
        <v>28</v>
      </c>
      <c r="H191">
        <v>1</v>
      </c>
      <c r="I191" s="1" t="s">
        <v>962</v>
      </c>
      <c r="J191" t="s">
        <v>963</v>
      </c>
      <c r="K191">
        <v>713</v>
      </c>
      <c r="L191">
        <v>403</v>
      </c>
      <c r="M191">
        <v>880</v>
      </c>
      <c r="N191">
        <v>30</v>
      </c>
      <c r="O191" s="2" t="s">
        <v>964</v>
      </c>
      <c r="P191">
        <v>1</v>
      </c>
      <c r="Q191" t="s">
        <v>965</v>
      </c>
      <c r="R191">
        <v>0</v>
      </c>
      <c r="S191" t="s">
        <v>966</v>
      </c>
      <c r="T191">
        <v>1</v>
      </c>
      <c r="U191" t="s">
        <v>967</v>
      </c>
      <c r="V191" t="s">
        <v>872</v>
      </c>
    </row>
    <row r="192" spans="1:22" hidden="1" x14ac:dyDescent="0.2">
      <c r="A192" t="s">
        <v>140</v>
      </c>
      <c r="B192" t="s">
        <v>750</v>
      </c>
      <c r="C192" t="s">
        <v>24</v>
      </c>
      <c r="D192" t="s">
        <v>865</v>
      </c>
      <c r="E192" t="s">
        <v>26</v>
      </c>
      <c r="F192" t="s">
        <v>141</v>
      </c>
      <c r="G192" t="s">
        <v>28</v>
      </c>
      <c r="H192">
        <v>2</v>
      </c>
      <c r="I192" s="1" t="s">
        <v>962</v>
      </c>
      <c r="J192" t="s">
        <v>968</v>
      </c>
      <c r="K192">
        <v>713</v>
      </c>
      <c r="L192">
        <v>403</v>
      </c>
      <c r="M192">
        <v>740</v>
      </c>
      <c r="N192">
        <v>20</v>
      </c>
      <c r="O192" s="2" t="s">
        <v>969</v>
      </c>
      <c r="P192">
        <v>0</v>
      </c>
      <c r="Q192" t="s">
        <v>970</v>
      </c>
      <c r="R192">
        <v>0</v>
      </c>
      <c r="S192" t="s">
        <v>971</v>
      </c>
      <c r="T192">
        <v>1</v>
      </c>
      <c r="U192" t="s">
        <v>972</v>
      </c>
      <c r="V192" t="s">
        <v>872</v>
      </c>
    </row>
    <row r="193" spans="1:22" hidden="1" x14ac:dyDescent="0.2">
      <c r="A193" t="s">
        <v>140</v>
      </c>
      <c r="B193" t="s">
        <v>750</v>
      </c>
      <c r="C193" t="s">
        <v>24</v>
      </c>
      <c r="D193" t="s">
        <v>865</v>
      </c>
      <c r="E193" t="s">
        <v>26</v>
      </c>
      <c r="F193" t="s">
        <v>141</v>
      </c>
      <c r="G193" t="s">
        <v>28</v>
      </c>
      <c r="H193">
        <v>3</v>
      </c>
      <c r="I193" s="1" t="s">
        <v>962</v>
      </c>
      <c r="J193" t="s">
        <v>973</v>
      </c>
      <c r="K193">
        <v>713</v>
      </c>
      <c r="L193">
        <v>403</v>
      </c>
      <c r="M193">
        <v>485</v>
      </c>
      <c r="N193">
        <v>20</v>
      </c>
      <c r="O193" s="2" t="s">
        <v>974</v>
      </c>
      <c r="P193">
        <v>1</v>
      </c>
      <c r="Q193" t="s">
        <v>975</v>
      </c>
      <c r="R193">
        <v>1</v>
      </c>
      <c r="S193" t="s">
        <v>976</v>
      </c>
      <c r="T193">
        <v>1</v>
      </c>
      <c r="U193" t="s">
        <v>977</v>
      </c>
      <c r="V193" t="s">
        <v>872</v>
      </c>
    </row>
    <row r="194" spans="1:22" hidden="1" x14ac:dyDescent="0.2">
      <c r="A194" t="s">
        <v>22</v>
      </c>
      <c r="B194" t="s">
        <v>750</v>
      </c>
      <c r="C194" t="s">
        <v>24</v>
      </c>
      <c r="D194" t="s">
        <v>978</v>
      </c>
      <c r="E194" t="s">
        <v>26</v>
      </c>
      <c r="F194" t="s">
        <v>27</v>
      </c>
      <c r="G194" t="s">
        <v>28</v>
      </c>
      <c r="H194">
        <v>1</v>
      </c>
      <c r="I194" s="1" t="s">
        <v>979</v>
      </c>
      <c r="J194" s="1" t="s">
        <v>980</v>
      </c>
      <c r="K194">
        <v>1060</v>
      </c>
      <c r="L194">
        <v>458</v>
      </c>
      <c r="M194">
        <v>122</v>
      </c>
      <c r="N194">
        <v>70</v>
      </c>
      <c r="O194" s="2" t="s">
        <v>981</v>
      </c>
      <c r="P194">
        <v>1</v>
      </c>
      <c r="Q194" t="s">
        <v>982</v>
      </c>
      <c r="R194">
        <v>0</v>
      </c>
      <c r="S194" t="s">
        <v>983</v>
      </c>
      <c r="T194">
        <v>1</v>
      </c>
      <c r="U194" t="s">
        <v>984</v>
      </c>
      <c r="V194" t="s">
        <v>985</v>
      </c>
    </row>
    <row r="195" spans="1:22" hidden="1" x14ac:dyDescent="0.2">
      <c r="A195" t="s">
        <v>22</v>
      </c>
      <c r="B195" t="s">
        <v>750</v>
      </c>
      <c r="C195" t="s">
        <v>24</v>
      </c>
      <c r="D195" t="s">
        <v>978</v>
      </c>
      <c r="E195" t="s">
        <v>26</v>
      </c>
      <c r="F195" t="s">
        <v>27</v>
      </c>
      <c r="G195" t="s">
        <v>28</v>
      </c>
      <c r="H195">
        <v>2</v>
      </c>
      <c r="I195" s="1" t="s">
        <v>979</v>
      </c>
      <c r="J195" s="1" t="s">
        <v>986</v>
      </c>
      <c r="K195">
        <v>1060</v>
      </c>
      <c r="L195">
        <v>458</v>
      </c>
      <c r="M195">
        <v>122</v>
      </c>
      <c r="N195">
        <v>70</v>
      </c>
      <c r="O195" s="2" t="s">
        <v>987</v>
      </c>
      <c r="P195">
        <v>1</v>
      </c>
      <c r="Q195" t="s">
        <v>988</v>
      </c>
      <c r="R195">
        <v>1</v>
      </c>
      <c r="S195" t="s">
        <v>989</v>
      </c>
      <c r="T195">
        <v>1</v>
      </c>
      <c r="U195" t="s">
        <v>990</v>
      </c>
      <c r="V195" t="s">
        <v>985</v>
      </c>
    </row>
    <row r="196" spans="1:22" hidden="1" x14ac:dyDescent="0.2">
      <c r="A196" t="s">
        <v>22</v>
      </c>
      <c r="B196" t="s">
        <v>750</v>
      </c>
      <c r="C196" t="s">
        <v>24</v>
      </c>
      <c r="D196" t="s">
        <v>978</v>
      </c>
      <c r="E196" t="s">
        <v>26</v>
      </c>
      <c r="F196" t="s">
        <v>27</v>
      </c>
      <c r="G196" t="s">
        <v>28</v>
      </c>
      <c r="H196">
        <v>3</v>
      </c>
      <c r="I196" s="1" t="s">
        <v>979</v>
      </c>
      <c r="J196" s="1" t="s">
        <v>991</v>
      </c>
      <c r="K196">
        <v>1060</v>
      </c>
      <c r="L196">
        <v>458</v>
      </c>
      <c r="M196">
        <v>126</v>
      </c>
      <c r="N196">
        <v>74</v>
      </c>
      <c r="O196">
        <v>2.9286737442016602</v>
      </c>
      <c r="P196">
        <v>1</v>
      </c>
      <c r="Q196" t="s">
        <v>992</v>
      </c>
      <c r="R196">
        <v>0</v>
      </c>
      <c r="S196" t="s">
        <v>993</v>
      </c>
      <c r="T196">
        <v>1</v>
      </c>
      <c r="U196" t="s">
        <v>325</v>
      </c>
      <c r="V196" t="s">
        <v>985</v>
      </c>
    </row>
    <row r="197" spans="1:22" hidden="1" x14ac:dyDescent="0.2">
      <c r="A197" t="s">
        <v>22</v>
      </c>
      <c r="B197" t="s">
        <v>750</v>
      </c>
      <c r="C197" t="s">
        <v>24</v>
      </c>
      <c r="D197" t="s">
        <v>978</v>
      </c>
      <c r="E197" t="s">
        <v>26</v>
      </c>
      <c r="F197" t="s">
        <v>46</v>
      </c>
      <c r="G197" t="s">
        <v>28</v>
      </c>
      <c r="H197">
        <v>1</v>
      </c>
      <c r="I197" s="1" t="s">
        <v>994</v>
      </c>
      <c r="J197" s="1" t="s">
        <v>995</v>
      </c>
      <c r="K197">
        <v>1088</v>
      </c>
      <c r="L197">
        <v>472</v>
      </c>
      <c r="M197">
        <v>189</v>
      </c>
      <c r="N197">
        <v>119</v>
      </c>
      <c r="O197" s="2" t="s">
        <v>996</v>
      </c>
      <c r="P197">
        <v>1</v>
      </c>
      <c r="Q197" t="s">
        <v>997</v>
      </c>
      <c r="R197">
        <v>0</v>
      </c>
      <c r="S197" t="s">
        <v>998</v>
      </c>
      <c r="T197">
        <v>1</v>
      </c>
      <c r="U197" t="s">
        <v>999</v>
      </c>
      <c r="V197" t="s">
        <v>985</v>
      </c>
    </row>
    <row r="198" spans="1:22" hidden="1" x14ac:dyDescent="0.2">
      <c r="A198" t="s">
        <v>22</v>
      </c>
      <c r="B198" t="s">
        <v>750</v>
      </c>
      <c r="C198" t="s">
        <v>24</v>
      </c>
      <c r="D198" t="s">
        <v>978</v>
      </c>
      <c r="E198" t="s">
        <v>26</v>
      </c>
      <c r="F198" t="s">
        <v>46</v>
      </c>
      <c r="G198" t="s">
        <v>28</v>
      </c>
      <c r="H198">
        <v>2</v>
      </c>
      <c r="I198" s="1" t="s">
        <v>994</v>
      </c>
      <c r="J198" s="1" t="s">
        <v>1000</v>
      </c>
      <c r="K198">
        <v>1088</v>
      </c>
      <c r="L198">
        <v>472</v>
      </c>
      <c r="M198">
        <v>217</v>
      </c>
      <c r="N198">
        <v>139</v>
      </c>
      <c r="O198" s="2" t="s">
        <v>1001</v>
      </c>
      <c r="P198">
        <v>1</v>
      </c>
      <c r="Q198" t="s">
        <v>1002</v>
      </c>
      <c r="R198">
        <v>1</v>
      </c>
      <c r="S198" t="s">
        <v>1003</v>
      </c>
      <c r="T198">
        <v>1</v>
      </c>
      <c r="U198" t="s">
        <v>393</v>
      </c>
      <c r="V198" t="s">
        <v>985</v>
      </c>
    </row>
    <row r="199" spans="1:22" hidden="1" x14ac:dyDescent="0.2">
      <c r="A199" t="s">
        <v>22</v>
      </c>
      <c r="B199" t="s">
        <v>750</v>
      </c>
      <c r="C199" t="s">
        <v>24</v>
      </c>
      <c r="D199" t="s">
        <v>978</v>
      </c>
      <c r="E199" t="s">
        <v>26</v>
      </c>
      <c r="F199" t="s">
        <v>46</v>
      </c>
      <c r="G199" t="s">
        <v>28</v>
      </c>
      <c r="H199">
        <v>3</v>
      </c>
      <c r="I199" s="1" t="s">
        <v>994</v>
      </c>
      <c r="J199" s="1" t="s">
        <v>1004</v>
      </c>
      <c r="K199">
        <v>1088</v>
      </c>
      <c r="L199">
        <v>472</v>
      </c>
      <c r="M199">
        <v>203</v>
      </c>
      <c r="N199">
        <v>126</v>
      </c>
      <c r="O199" s="2" t="s">
        <v>1005</v>
      </c>
      <c r="P199">
        <v>1</v>
      </c>
      <c r="Q199" t="s">
        <v>1006</v>
      </c>
      <c r="R199">
        <v>0</v>
      </c>
      <c r="S199" t="s">
        <v>1007</v>
      </c>
      <c r="T199">
        <v>1</v>
      </c>
      <c r="U199" t="s">
        <v>109</v>
      </c>
      <c r="V199" t="s">
        <v>985</v>
      </c>
    </row>
    <row r="200" spans="1:22" hidden="1" x14ac:dyDescent="0.2">
      <c r="A200" t="s">
        <v>22</v>
      </c>
      <c r="B200" t="s">
        <v>750</v>
      </c>
      <c r="C200" t="s">
        <v>24</v>
      </c>
      <c r="D200" t="s">
        <v>978</v>
      </c>
      <c r="E200" t="s">
        <v>26</v>
      </c>
      <c r="F200" t="s">
        <v>61</v>
      </c>
      <c r="G200" t="s">
        <v>28</v>
      </c>
      <c r="H200">
        <v>1</v>
      </c>
      <c r="I200" s="1" t="s">
        <v>1008</v>
      </c>
      <c r="J200" s="1" t="s">
        <v>1009</v>
      </c>
      <c r="K200">
        <v>1123</v>
      </c>
      <c r="L200">
        <v>494</v>
      </c>
      <c r="M200">
        <v>210</v>
      </c>
      <c r="N200">
        <v>123</v>
      </c>
      <c r="O200" s="2" t="s">
        <v>1010</v>
      </c>
      <c r="P200">
        <v>1</v>
      </c>
      <c r="Q200" t="s">
        <v>1011</v>
      </c>
      <c r="R200">
        <v>0</v>
      </c>
      <c r="S200" t="s">
        <v>1012</v>
      </c>
      <c r="T200">
        <v>1</v>
      </c>
      <c r="U200" t="s">
        <v>109</v>
      </c>
      <c r="V200" t="s">
        <v>985</v>
      </c>
    </row>
    <row r="201" spans="1:22" hidden="1" x14ac:dyDescent="0.2">
      <c r="A201" t="s">
        <v>22</v>
      </c>
      <c r="B201" t="s">
        <v>750</v>
      </c>
      <c r="C201" t="s">
        <v>24</v>
      </c>
      <c r="D201" t="s">
        <v>978</v>
      </c>
      <c r="E201" t="s">
        <v>26</v>
      </c>
      <c r="F201" t="s">
        <v>61</v>
      </c>
      <c r="G201" t="s">
        <v>28</v>
      </c>
      <c r="H201">
        <v>2</v>
      </c>
      <c r="I201" s="1" t="s">
        <v>1008</v>
      </c>
      <c r="J201" s="1" t="s">
        <v>1013</v>
      </c>
      <c r="K201">
        <v>1123</v>
      </c>
      <c r="L201">
        <v>494</v>
      </c>
      <c r="M201">
        <v>212</v>
      </c>
      <c r="N201">
        <v>128</v>
      </c>
      <c r="O201" s="2" t="s">
        <v>1014</v>
      </c>
      <c r="P201">
        <v>1</v>
      </c>
      <c r="Q201" t="s">
        <v>1015</v>
      </c>
      <c r="R201">
        <v>0</v>
      </c>
      <c r="S201" t="s">
        <v>1016</v>
      </c>
      <c r="T201">
        <v>1</v>
      </c>
      <c r="U201" t="s">
        <v>665</v>
      </c>
      <c r="V201" t="s">
        <v>985</v>
      </c>
    </row>
    <row r="202" spans="1:22" hidden="1" x14ac:dyDescent="0.2">
      <c r="A202" t="s">
        <v>22</v>
      </c>
      <c r="B202" t="s">
        <v>750</v>
      </c>
      <c r="C202" t="s">
        <v>24</v>
      </c>
      <c r="D202" t="s">
        <v>978</v>
      </c>
      <c r="E202" t="s">
        <v>26</v>
      </c>
      <c r="F202" t="s">
        <v>61</v>
      </c>
      <c r="G202" t="s">
        <v>28</v>
      </c>
      <c r="H202">
        <v>3</v>
      </c>
      <c r="I202" s="1" t="s">
        <v>1008</v>
      </c>
      <c r="J202" s="1" t="s">
        <v>1017</v>
      </c>
      <c r="K202">
        <v>1123</v>
      </c>
      <c r="L202">
        <v>494</v>
      </c>
      <c r="M202">
        <v>208</v>
      </c>
      <c r="N202">
        <v>122</v>
      </c>
      <c r="O202" s="2" t="s">
        <v>1018</v>
      </c>
      <c r="P202">
        <v>1</v>
      </c>
      <c r="Q202" t="s">
        <v>1019</v>
      </c>
      <c r="R202">
        <v>1</v>
      </c>
      <c r="S202" t="s">
        <v>1020</v>
      </c>
      <c r="T202">
        <v>1</v>
      </c>
      <c r="U202" t="s">
        <v>339</v>
      </c>
      <c r="V202" t="s">
        <v>985</v>
      </c>
    </row>
    <row r="203" spans="1:22" hidden="1" x14ac:dyDescent="0.2">
      <c r="A203" t="s">
        <v>76</v>
      </c>
      <c r="B203" t="s">
        <v>750</v>
      </c>
      <c r="C203" t="s">
        <v>24</v>
      </c>
      <c r="D203" t="s">
        <v>978</v>
      </c>
      <c r="E203" t="s">
        <v>26</v>
      </c>
      <c r="F203" t="s">
        <v>77</v>
      </c>
      <c r="G203" t="s">
        <v>28</v>
      </c>
      <c r="H203">
        <v>1</v>
      </c>
      <c r="I203" s="1" t="s">
        <v>1008</v>
      </c>
      <c r="J203" s="1" t="s">
        <v>1021</v>
      </c>
      <c r="K203">
        <v>1006</v>
      </c>
      <c r="L203">
        <v>494</v>
      </c>
      <c r="M203">
        <v>146</v>
      </c>
      <c r="N203">
        <v>95</v>
      </c>
      <c r="O203" s="2" t="s">
        <v>1022</v>
      </c>
      <c r="P203">
        <v>1</v>
      </c>
      <c r="Q203" t="s">
        <v>1023</v>
      </c>
      <c r="R203">
        <v>0</v>
      </c>
      <c r="S203" t="s">
        <v>1024</v>
      </c>
      <c r="T203">
        <v>1</v>
      </c>
      <c r="U203" t="s">
        <v>1025</v>
      </c>
      <c r="V203" t="s">
        <v>985</v>
      </c>
    </row>
    <row r="204" spans="1:22" hidden="1" x14ac:dyDescent="0.2">
      <c r="A204" t="s">
        <v>76</v>
      </c>
      <c r="B204" t="s">
        <v>750</v>
      </c>
      <c r="C204" t="s">
        <v>24</v>
      </c>
      <c r="D204" t="s">
        <v>978</v>
      </c>
      <c r="E204" t="s">
        <v>26</v>
      </c>
      <c r="F204" t="s">
        <v>77</v>
      </c>
      <c r="G204" t="s">
        <v>28</v>
      </c>
      <c r="H204">
        <v>2</v>
      </c>
      <c r="I204" s="1" t="s">
        <v>1008</v>
      </c>
      <c r="J204" s="1" t="s">
        <v>1026</v>
      </c>
      <c r="K204">
        <v>1006</v>
      </c>
      <c r="L204">
        <v>494</v>
      </c>
      <c r="M204">
        <v>146</v>
      </c>
      <c r="N204">
        <v>92</v>
      </c>
      <c r="O204" s="2" t="s">
        <v>1027</v>
      </c>
      <c r="P204">
        <v>1</v>
      </c>
      <c r="Q204" t="s">
        <v>1028</v>
      </c>
      <c r="R204">
        <v>0</v>
      </c>
      <c r="S204" t="s">
        <v>1029</v>
      </c>
      <c r="T204">
        <v>1</v>
      </c>
      <c r="U204" t="s">
        <v>454</v>
      </c>
      <c r="V204" t="s">
        <v>985</v>
      </c>
    </row>
    <row r="205" spans="1:22" hidden="1" x14ac:dyDescent="0.2">
      <c r="A205" t="s">
        <v>76</v>
      </c>
      <c r="B205" t="s">
        <v>750</v>
      </c>
      <c r="C205" t="s">
        <v>24</v>
      </c>
      <c r="D205" t="s">
        <v>978</v>
      </c>
      <c r="E205" t="s">
        <v>26</v>
      </c>
      <c r="F205" t="s">
        <v>77</v>
      </c>
      <c r="G205" t="s">
        <v>28</v>
      </c>
      <c r="H205">
        <v>3</v>
      </c>
      <c r="I205" s="1" t="s">
        <v>1008</v>
      </c>
      <c r="J205" s="1" t="s">
        <v>1030</v>
      </c>
      <c r="K205">
        <v>1006</v>
      </c>
      <c r="L205">
        <v>494</v>
      </c>
      <c r="M205">
        <v>157</v>
      </c>
      <c r="N205">
        <v>100</v>
      </c>
      <c r="O205" s="2" t="s">
        <v>1031</v>
      </c>
      <c r="P205">
        <v>1</v>
      </c>
      <c r="Q205" t="s">
        <v>1032</v>
      </c>
      <c r="R205">
        <v>1</v>
      </c>
      <c r="S205" t="s">
        <v>1033</v>
      </c>
      <c r="T205">
        <v>1</v>
      </c>
      <c r="U205" t="s">
        <v>75</v>
      </c>
      <c r="V205" t="s">
        <v>985</v>
      </c>
    </row>
    <row r="206" spans="1:22" hidden="1" x14ac:dyDescent="0.2">
      <c r="A206" t="s">
        <v>93</v>
      </c>
      <c r="B206" t="s">
        <v>750</v>
      </c>
      <c r="C206" t="s">
        <v>24</v>
      </c>
      <c r="D206" t="s">
        <v>978</v>
      </c>
      <c r="E206" t="s">
        <v>26</v>
      </c>
      <c r="F206" t="s">
        <v>94</v>
      </c>
      <c r="G206" t="s">
        <v>28</v>
      </c>
      <c r="H206">
        <v>1</v>
      </c>
      <c r="I206" s="1" t="s">
        <v>979</v>
      </c>
      <c r="J206" s="1" t="s">
        <v>1034</v>
      </c>
      <c r="K206">
        <v>950</v>
      </c>
      <c r="L206">
        <v>458</v>
      </c>
      <c r="M206">
        <v>109</v>
      </c>
      <c r="N206">
        <v>72</v>
      </c>
      <c r="O206" s="2" t="s">
        <v>1035</v>
      </c>
      <c r="P206">
        <v>1</v>
      </c>
      <c r="Q206" t="s">
        <v>1032</v>
      </c>
      <c r="R206">
        <v>1</v>
      </c>
      <c r="S206" t="s">
        <v>1036</v>
      </c>
      <c r="T206">
        <v>1</v>
      </c>
      <c r="U206" t="s">
        <v>227</v>
      </c>
      <c r="V206" t="s">
        <v>985</v>
      </c>
    </row>
    <row r="207" spans="1:22" hidden="1" x14ac:dyDescent="0.2">
      <c r="A207" t="s">
        <v>93</v>
      </c>
      <c r="B207" t="s">
        <v>750</v>
      </c>
      <c r="C207" t="s">
        <v>24</v>
      </c>
      <c r="D207" t="s">
        <v>978</v>
      </c>
      <c r="E207" t="s">
        <v>26</v>
      </c>
      <c r="F207" t="s">
        <v>94</v>
      </c>
      <c r="G207" t="s">
        <v>28</v>
      </c>
      <c r="H207">
        <v>2</v>
      </c>
      <c r="I207" s="1" t="s">
        <v>979</v>
      </c>
      <c r="J207" s="1" t="s">
        <v>1037</v>
      </c>
      <c r="K207">
        <v>950</v>
      </c>
      <c r="L207">
        <v>458</v>
      </c>
      <c r="M207">
        <v>97</v>
      </c>
      <c r="N207">
        <v>65</v>
      </c>
      <c r="O207" s="2" t="s">
        <v>1038</v>
      </c>
      <c r="P207">
        <v>1</v>
      </c>
      <c r="Q207" t="s">
        <v>1039</v>
      </c>
      <c r="R207">
        <v>0</v>
      </c>
      <c r="S207" t="s">
        <v>1040</v>
      </c>
      <c r="T207">
        <v>1</v>
      </c>
      <c r="U207" t="s">
        <v>1041</v>
      </c>
      <c r="V207" t="s">
        <v>985</v>
      </c>
    </row>
    <row r="208" spans="1:22" hidden="1" x14ac:dyDescent="0.2">
      <c r="A208" t="s">
        <v>93</v>
      </c>
      <c r="B208" t="s">
        <v>750</v>
      </c>
      <c r="C208" t="s">
        <v>24</v>
      </c>
      <c r="D208" t="s">
        <v>978</v>
      </c>
      <c r="E208" t="s">
        <v>26</v>
      </c>
      <c r="F208" t="s">
        <v>94</v>
      </c>
      <c r="G208" t="s">
        <v>28</v>
      </c>
      <c r="H208">
        <v>3</v>
      </c>
      <c r="I208" s="1" t="s">
        <v>979</v>
      </c>
      <c r="J208" s="1" t="s">
        <v>1042</v>
      </c>
      <c r="K208">
        <v>950</v>
      </c>
      <c r="L208">
        <v>458</v>
      </c>
      <c r="M208">
        <v>107</v>
      </c>
      <c r="N208">
        <v>73</v>
      </c>
      <c r="O208" s="2" t="s">
        <v>1043</v>
      </c>
      <c r="P208">
        <v>1</v>
      </c>
      <c r="Q208" t="s">
        <v>1044</v>
      </c>
      <c r="R208">
        <v>1</v>
      </c>
      <c r="S208" t="s">
        <v>1045</v>
      </c>
      <c r="T208">
        <v>1</v>
      </c>
      <c r="U208" t="s">
        <v>1046</v>
      </c>
      <c r="V208" t="s">
        <v>985</v>
      </c>
    </row>
    <row r="209" spans="1:22" hidden="1" x14ac:dyDescent="0.2">
      <c r="A209" t="s">
        <v>93</v>
      </c>
      <c r="B209" t="s">
        <v>750</v>
      </c>
      <c r="C209" t="s">
        <v>24</v>
      </c>
      <c r="D209" t="s">
        <v>978</v>
      </c>
      <c r="E209" t="s">
        <v>26</v>
      </c>
      <c r="F209" t="s">
        <v>110</v>
      </c>
      <c r="G209" t="s">
        <v>28</v>
      </c>
      <c r="H209">
        <v>1</v>
      </c>
      <c r="I209" s="1" t="s">
        <v>994</v>
      </c>
      <c r="J209" s="1" t="s">
        <v>1047</v>
      </c>
      <c r="K209">
        <v>975</v>
      </c>
      <c r="L209">
        <v>472</v>
      </c>
      <c r="M209">
        <v>163</v>
      </c>
      <c r="N209">
        <v>115</v>
      </c>
      <c r="O209" s="2" t="s">
        <v>1048</v>
      </c>
      <c r="P209">
        <v>1</v>
      </c>
      <c r="Q209" t="s">
        <v>1049</v>
      </c>
      <c r="R209">
        <v>1</v>
      </c>
      <c r="S209" t="s">
        <v>1050</v>
      </c>
      <c r="T209">
        <v>1</v>
      </c>
      <c r="U209" t="s">
        <v>339</v>
      </c>
      <c r="V209" t="s">
        <v>985</v>
      </c>
    </row>
    <row r="210" spans="1:22" hidden="1" x14ac:dyDescent="0.2">
      <c r="A210" t="s">
        <v>93</v>
      </c>
      <c r="B210" t="s">
        <v>750</v>
      </c>
      <c r="C210" t="s">
        <v>24</v>
      </c>
      <c r="D210" t="s">
        <v>978</v>
      </c>
      <c r="E210" t="s">
        <v>26</v>
      </c>
      <c r="F210" t="s">
        <v>110</v>
      </c>
      <c r="G210" t="s">
        <v>28</v>
      </c>
      <c r="H210">
        <v>2</v>
      </c>
      <c r="I210" s="1" t="s">
        <v>994</v>
      </c>
      <c r="J210" s="1" t="s">
        <v>1051</v>
      </c>
      <c r="K210">
        <v>975</v>
      </c>
      <c r="L210">
        <v>472</v>
      </c>
      <c r="M210">
        <v>173</v>
      </c>
      <c r="N210">
        <v>124</v>
      </c>
      <c r="O210" s="2" t="s">
        <v>1052</v>
      </c>
      <c r="P210">
        <v>1</v>
      </c>
      <c r="Q210" t="s">
        <v>1053</v>
      </c>
      <c r="R210">
        <v>0</v>
      </c>
      <c r="S210" t="s">
        <v>1054</v>
      </c>
      <c r="T210">
        <v>1</v>
      </c>
      <c r="U210" t="s">
        <v>109</v>
      </c>
      <c r="V210" t="s">
        <v>985</v>
      </c>
    </row>
    <row r="211" spans="1:22" hidden="1" x14ac:dyDescent="0.2">
      <c r="A211" t="s">
        <v>93</v>
      </c>
      <c r="B211" t="s">
        <v>750</v>
      </c>
      <c r="C211" t="s">
        <v>24</v>
      </c>
      <c r="D211" t="s">
        <v>978</v>
      </c>
      <c r="E211" t="s">
        <v>26</v>
      </c>
      <c r="F211" t="s">
        <v>110</v>
      </c>
      <c r="G211" t="s">
        <v>28</v>
      </c>
      <c r="H211">
        <v>3</v>
      </c>
      <c r="I211" s="1" t="s">
        <v>994</v>
      </c>
      <c r="J211" s="1" t="s">
        <v>1055</v>
      </c>
      <c r="K211">
        <v>975</v>
      </c>
      <c r="L211">
        <v>472</v>
      </c>
      <c r="M211">
        <v>148</v>
      </c>
      <c r="N211">
        <v>99</v>
      </c>
      <c r="O211" s="2" t="s">
        <v>1056</v>
      </c>
      <c r="P211">
        <v>1</v>
      </c>
      <c r="Q211" t="s">
        <v>1057</v>
      </c>
      <c r="R211">
        <v>0</v>
      </c>
      <c r="S211" t="s">
        <v>1058</v>
      </c>
      <c r="T211">
        <v>1</v>
      </c>
      <c r="U211" t="s">
        <v>449</v>
      </c>
      <c r="V211" t="s">
        <v>985</v>
      </c>
    </row>
    <row r="212" spans="1:22" hidden="1" x14ac:dyDescent="0.2">
      <c r="A212" t="s">
        <v>93</v>
      </c>
      <c r="B212" t="s">
        <v>750</v>
      </c>
      <c r="C212" t="s">
        <v>24</v>
      </c>
      <c r="D212" t="s">
        <v>978</v>
      </c>
      <c r="E212" t="s">
        <v>26</v>
      </c>
      <c r="F212" t="s">
        <v>125</v>
      </c>
      <c r="G212" t="s">
        <v>28</v>
      </c>
      <c r="H212">
        <v>1</v>
      </c>
      <c r="I212" s="1" t="s">
        <v>1008</v>
      </c>
      <c r="J212" s="1" t="s">
        <v>1059</v>
      </c>
      <c r="K212">
        <v>1006</v>
      </c>
      <c r="L212">
        <v>494</v>
      </c>
      <c r="M212">
        <v>183</v>
      </c>
      <c r="N212">
        <v>126</v>
      </c>
      <c r="O212" s="2" t="s">
        <v>1060</v>
      </c>
      <c r="P212">
        <v>1</v>
      </c>
      <c r="Q212" t="s">
        <v>1061</v>
      </c>
      <c r="R212">
        <v>0</v>
      </c>
      <c r="S212" t="s">
        <v>1062</v>
      </c>
      <c r="T212">
        <v>1</v>
      </c>
      <c r="U212" t="s">
        <v>1063</v>
      </c>
      <c r="V212" t="s">
        <v>985</v>
      </c>
    </row>
    <row r="213" spans="1:22" hidden="1" x14ac:dyDescent="0.2">
      <c r="A213" t="s">
        <v>93</v>
      </c>
      <c r="B213" t="s">
        <v>750</v>
      </c>
      <c r="C213" t="s">
        <v>24</v>
      </c>
      <c r="D213" t="s">
        <v>978</v>
      </c>
      <c r="E213" t="s">
        <v>26</v>
      </c>
      <c r="F213" t="s">
        <v>125</v>
      </c>
      <c r="G213" t="s">
        <v>28</v>
      </c>
      <c r="H213">
        <v>2</v>
      </c>
      <c r="I213" s="1" t="s">
        <v>1008</v>
      </c>
      <c r="J213" s="1" t="s">
        <v>1064</v>
      </c>
      <c r="K213">
        <v>1006</v>
      </c>
      <c r="L213">
        <v>494</v>
      </c>
      <c r="M213">
        <v>181</v>
      </c>
      <c r="N213">
        <v>123</v>
      </c>
      <c r="O213" s="2" t="s">
        <v>1065</v>
      </c>
      <c r="P213">
        <v>1</v>
      </c>
      <c r="Q213" t="s">
        <v>1066</v>
      </c>
      <c r="R213">
        <v>0</v>
      </c>
      <c r="S213" t="s">
        <v>1067</v>
      </c>
      <c r="T213">
        <v>1</v>
      </c>
      <c r="U213" t="s">
        <v>1068</v>
      </c>
      <c r="V213" t="s">
        <v>985</v>
      </c>
    </row>
    <row r="214" spans="1:22" hidden="1" x14ac:dyDescent="0.2">
      <c r="A214" t="s">
        <v>93</v>
      </c>
      <c r="B214" t="s">
        <v>750</v>
      </c>
      <c r="C214" t="s">
        <v>24</v>
      </c>
      <c r="D214" t="s">
        <v>978</v>
      </c>
      <c r="E214" t="s">
        <v>26</v>
      </c>
      <c r="F214" t="s">
        <v>125</v>
      </c>
      <c r="G214" t="s">
        <v>28</v>
      </c>
      <c r="H214">
        <v>3</v>
      </c>
      <c r="I214" s="1" t="s">
        <v>1008</v>
      </c>
      <c r="J214" s="1" t="s">
        <v>1069</v>
      </c>
      <c r="K214">
        <v>1006</v>
      </c>
      <c r="L214">
        <v>494</v>
      </c>
      <c r="M214">
        <v>165</v>
      </c>
      <c r="N214">
        <v>105</v>
      </c>
      <c r="O214" s="2" t="s">
        <v>1070</v>
      </c>
      <c r="P214">
        <v>1</v>
      </c>
      <c r="Q214" t="s">
        <v>1071</v>
      </c>
      <c r="R214">
        <v>1</v>
      </c>
      <c r="S214" t="s">
        <v>1072</v>
      </c>
      <c r="T214">
        <v>1</v>
      </c>
      <c r="U214" t="s">
        <v>1073</v>
      </c>
      <c r="V214" t="s">
        <v>985</v>
      </c>
    </row>
    <row r="215" spans="1:22" hidden="1" x14ac:dyDescent="0.2">
      <c r="A215" t="s">
        <v>140</v>
      </c>
      <c r="B215" t="s">
        <v>750</v>
      </c>
      <c r="C215" t="s">
        <v>24</v>
      </c>
      <c r="D215" t="s">
        <v>978</v>
      </c>
      <c r="E215" t="s">
        <v>26</v>
      </c>
      <c r="F215" t="s">
        <v>141</v>
      </c>
      <c r="G215" t="s">
        <v>28</v>
      </c>
      <c r="H215">
        <v>1</v>
      </c>
      <c r="I215" s="1" t="s">
        <v>1074</v>
      </c>
      <c r="J215" t="s">
        <v>1075</v>
      </c>
      <c r="K215">
        <v>914</v>
      </c>
      <c r="L215">
        <v>443</v>
      </c>
      <c r="M215">
        <v>435</v>
      </c>
      <c r="N215">
        <v>35</v>
      </c>
      <c r="O215" s="2" t="s">
        <v>1076</v>
      </c>
      <c r="P215">
        <v>1</v>
      </c>
      <c r="Q215" t="s">
        <v>1077</v>
      </c>
      <c r="R215">
        <v>0</v>
      </c>
      <c r="S215" t="s">
        <v>1078</v>
      </c>
      <c r="T215">
        <v>1</v>
      </c>
      <c r="U215" t="s">
        <v>393</v>
      </c>
      <c r="V215" t="s">
        <v>985</v>
      </c>
    </row>
    <row r="216" spans="1:22" hidden="1" x14ac:dyDescent="0.2">
      <c r="A216" t="s">
        <v>140</v>
      </c>
      <c r="B216" t="s">
        <v>750</v>
      </c>
      <c r="C216" t="s">
        <v>24</v>
      </c>
      <c r="D216" t="s">
        <v>978</v>
      </c>
      <c r="E216" t="s">
        <v>26</v>
      </c>
      <c r="F216" t="s">
        <v>141</v>
      </c>
      <c r="G216" t="s">
        <v>28</v>
      </c>
      <c r="H216">
        <v>2</v>
      </c>
      <c r="I216" s="1" t="s">
        <v>1074</v>
      </c>
      <c r="J216" s="1" t="s">
        <v>1079</v>
      </c>
      <c r="K216">
        <v>914</v>
      </c>
      <c r="L216">
        <v>443</v>
      </c>
      <c r="M216">
        <v>557</v>
      </c>
      <c r="N216">
        <v>28</v>
      </c>
      <c r="O216">
        <v>5.1115987300872803</v>
      </c>
      <c r="P216">
        <v>1</v>
      </c>
      <c r="Q216" t="s">
        <v>1080</v>
      </c>
      <c r="R216">
        <v>0</v>
      </c>
      <c r="S216" t="s">
        <v>1081</v>
      </c>
      <c r="T216">
        <v>1</v>
      </c>
      <c r="U216" t="s">
        <v>454</v>
      </c>
      <c r="V216" t="s">
        <v>985</v>
      </c>
    </row>
    <row r="217" spans="1:22" hidden="1" x14ac:dyDescent="0.2">
      <c r="A217" t="s">
        <v>140</v>
      </c>
      <c r="B217" t="s">
        <v>750</v>
      </c>
      <c r="C217" t="s">
        <v>24</v>
      </c>
      <c r="D217" t="s">
        <v>978</v>
      </c>
      <c r="E217" t="s">
        <v>26</v>
      </c>
      <c r="F217" t="s">
        <v>141</v>
      </c>
      <c r="G217" t="s">
        <v>28</v>
      </c>
      <c r="H217">
        <v>3</v>
      </c>
      <c r="I217" s="1" t="s">
        <v>1074</v>
      </c>
      <c r="J217" s="1" t="s">
        <v>1082</v>
      </c>
      <c r="K217">
        <v>914</v>
      </c>
      <c r="L217">
        <v>443</v>
      </c>
      <c r="M217">
        <v>235</v>
      </c>
      <c r="N217">
        <v>27</v>
      </c>
      <c r="O217" s="2" t="s">
        <v>1083</v>
      </c>
      <c r="P217">
        <v>1</v>
      </c>
      <c r="Q217" t="s">
        <v>1084</v>
      </c>
      <c r="R217">
        <v>0</v>
      </c>
      <c r="S217" t="s">
        <v>1085</v>
      </c>
      <c r="T217">
        <v>1</v>
      </c>
      <c r="U217" t="s">
        <v>1086</v>
      </c>
      <c r="V217" t="s">
        <v>985</v>
      </c>
    </row>
    <row r="218" spans="1:22" hidden="1" x14ac:dyDescent="0.2">
      <c r="A218" t="s">
        <v>22</v>
      </c>
      <c r="B218" t="s">
        <v>750</v>
      </c>
      <c r="C218" t="s">
        <v>24</v>
      </c>
      <c r="D218" t="s">
        <v>1087</v>
      </c>
      <c r="E218" t="s">
        <v>395</v>
      </c>
      <c r="F218" t="s">
        <v>27</v>
      </c>
      <c r="G218" t="s">
        <v>28</v>
      </c>
      <c r="H218">
        <v>1</v>
      </c>
      <c r="I218" s="1" t="s">
        <v>1088</v>
      </c>
      <c r="J218" s="1" t="s">
        <v>1089</v>
      </c>
      <c r="K218">
        <v>1095</v>
      </c>
      <c r="L218">
        <v>462</v>
      </c>
      <c r="M218">
        <v>139</v>
      </c>
      <c r="N218">
        <v>78</v>
      </c>
      <c r="O218" s="2" t="s">
        <v>1090</v>
      </c>
      <c r="P218">
        <v>1</v>
      </c>
      <c r="Q218" t="s">
        <v>1091</v>
      </c>
      <c r="R218">
        <v>1</v>
      </c>
      <c r="S218" t="s">
        <v>1092</v>
      </c>
      <c r="T218">
        <v>1</v>
      </c>
      <c r="U218" t="s">
        <v>1093</v>
      </c>
      <c r="V218" t="s">
        <v>1094</v>
      </c>
    </row>
    <row r="219" spans="1:22" hidden="1" x14ac:dyDescent="0.2">
      <c r="A219" t="s">
        <v>22</v>
      </c>
      <c r="B219" t="s">
        <v>750</v>
      </c>
      <c r="C219" t="s">
        <v>24</v>
      </c>
      <c r="D219" t="s">
        <v>1087</v>
      </c>
      <c r="E219" t="s">
        <v>395</v>
      </c>
      <c r="F219" t="s">
        <v>27</v>
      </c>
      <c r="G219" t="s">
        <v>28</v>
      </c>
      <c r="H219">
        <v>2</v>
      </c>
      <c r="I219" s="1" t="s">
        <v>1088</v>
      </c>
      <c r="J219" s="1" t="s">
        <v>1095</v>
      </c>
      <c r="K219">
        <v>1095</v>
      </c>
      <c r="L219">
        <v>462</v>
      </c>
      <c r="M219">
        <v>128</v>
      </c>
      <c r="N219">
        <v>70</v>
      </c>
      <c r="O219" s="2" t="s">
        <v>1096</v>
      </c>
      <c r="P219">
        <v>1</v>
      </c>
      <c r="Q219" t="s">
        <v>1097</v>
      </c>
      <c r="R219">
        <v>1</v>
      </c>
      <c r="S219" t="s">
        <v>1098</v>
      </c>
      <c r="T219">
        <v>1</v>
      </c>
      <c r="U219" t="s">
        <v>939</v>
      </c>
      <c r="V219" t="s">
        <v>1094</v>
      </c>
    </row>
    <row r="220" spans="1:22" hidden="1" x14ac:dyDescent="0.2">
      <c r="A220" t="s">
        <v>22</v>
      </c>
      <c r="B220" t="s">
        <v>750</v>
      </c>
      <c r="C220" t="s">
        <v>24</v>
      </c>
      <c r="D220" t="s">
        <v>1087</v>
      </c>
      <c r="E220" t="s">
        <v>395</v>
      </c>
      <c r="F220" t="s">
        <v>27</v>
      </c>
      <c r="G220" t="s">
        <v>28</v>
      </c>
      <c r="H220">
        <v>3</v>
      </c>
      <c r="I220" s="1" t="s">
        <v>1088</v>
      </c>
      <c r="J220" s="1" t="s">
        <v>1099</v>
      </c>
      <c r="K220">
        <v>1095</v>
      </c>
      <c r="L220">
        <v>462</v>
      </c>
      <c r="M220">
        <v>137</v>
      </c>
      <c r="N220">
        <v>81</v>
      </c>
      <c r="O220" s="2" t="s">
        <v>1100</v>
      </c>
      <c r="P220">
        <v>1</v>
      </c>
      <c r="Q220" t="s">
        <v>1101</v>
      </c>
      <c r="R220">
        <v>1</v>
      </c>
      <c r="S220" t="s">
        <v>1102</v>
      </c>
      <c r="T220">
        <v>1</v>
      </c>
      <c r="U220" t="s">
        <v>1103</v>
      </c>
      <c r="V220" t="s">
        <v>1094</v>
      </c>
    </row>
    <row r="221" spans="1:22" hidden="1" x14ac:dyDescent="0.2">
      <c r="A221" t="s">
        <v>22</v>
      </c>
      <c r="B221" t="s">
        <v>750</v>
      </c>
      <c r="C221" t="s">
        <v>24</v>
      </c>
      <c r="D221" t="s">
        <v>1087</v>
      </c>
      <c r="E221" t="s">
        <v>395</v>
      </c>
      <c r="F221" t="s">
        <v>46</v>
      </c>
      <c r="G221" t="s">
        <v>28</v>
      </c>
      <c r="H221">
        <v>1</v>
      </c>
      <c r="I221" s="1" t="s">
        <v>1104</v>
      </c>
      <c r="J221" s="1" t="s">
        <v>1105</v>
      </c>
      <c r="K221">
        <v>1123</v>
      </c>
      <c r="L221">
        <v>476</v>
      </c>
      <c r="M221">
        <v>237</v>
      </c>
      <c r="N221">
        <v>156</v>
      </c>
      <c r="O221" s="2" t="s">
        <v>1106</v>
      </c>
      <c r="P221">
        <v>1</v>
      </c>
      <c r="Q221" t="s">
        <v>1107</v>
      </c>
      <c r="R221">
        <v>1</v>
      </c>
      <c r="S221" t="s">
        <v>1108</v>
      </c>
      <c r="T221">
        <v>1</v>
      </c>
      <c r="U221" t="s">
        <v>1109</v>
      </c>
      <c r="V221" t="s">
        <v>1094</v>
      </c>
    </row>
    <row r="222" spans="1:22" hidden="1" x14ac:dyDescent="0.2">
      <c r="A222" t="s">
        <v>22</v>
      </c>
      <c r="B222" t="s">
        <v>750</v>
      </c>
      <c r="C222" t="s">
        <v>24</v>
      </c>
      <c r="D222" t="s">
        <v>1087</v>
      </c>
      <c r="E222" t="s">
        <v>395</v>
      </c>
      <c r="F222" t="s">
        <v>46</v>
      </c>
      <c r="G222" t="s">
        <v>28</v>
      </c>
      <c r="H222">
        <v>2</v>
      </c>
      <c r="I222" s="1" t="s">
        <v>1104</v>
      </c>
      <c r="J222" s="1" t="s">
        <v>1110</v>
      </c>
      <c r="K222">
        <v>1123</v>
      </c>
      <c r="L222">
        <v>476</v>
      </c>
      <c r="M222">
        <v>209</v>
      </c>
      <c r="N222">
        <v>130</v>
      </c>
      <c r="O222">
        <v>4.81778883934021</v>
      </c>
      <c r="P222">
        <v>1</v>
      </c>
      <c r="Q222" t="s">
        <v>1111</v>
      </c>
      <c r="R222">
        <v>1</v>
      </c>
      <c r="S222" t="s">
        <v>1112</v>
      </c>
      <c r="T222">
        <v>1</v>
      </c>
      <c r="U222" t="s">
        <v>1113</v>
      </c>
      <c r="V222" t="s">
        <v>1094</v>
      </c>
    </row>
    <row r="223" spans="1:22" hidden="1" x14ac:dyDescent="0.2">
      <c r="A223" t="s">
        <v>22</v>
      </c>
      <c r="B223" t="s">
        <v>750</v>
      </c>
      <c r="C223" t="s">
        <v>24</v>
      </c>
      <c r="D223" t="s">
        <v>1087</v>
      </c>
      <c r="E223" t="s">
        <v>395</v>
      </c>
      <c r="F223" t="s">
        <v>46</v>
      </c>
      <c r="G223" t="s">
        <v>28</v>
      </c>
      <c r="H223">
        <v>3</v>
      </c>
      <c r="I223" s="1" t="s">
        <v>1104</v>
      </c>
      <c r="J223" s="1" t="s">
        <v>1114</v>
      </c>
      <c r="K223">
        <v>1123</v>
      </c>
      <c r="L223">
        <v>476</v>
      </c>
      <c r="M223">
        <v>200</v>
      </c>
      <c r="N223">
        <v>126</v>
      </c>
      <c r="O223" s="2" t="s">
        <v>1115</v>
      </c>
      <c r="P223">
        <v>1</v>
      </c>
      <c r="Q223" t="s">
        <v>1116</v>
      </c>
      <c r="R223">
        <v>1</v>
      </c>
      <c r="S223" t="s">
        <v>1117</v>
      </c>
      <c r="T223">
        <v>1</v>
      </c>
      <c r="U223" t="s">
        <v>82</v>
      </c>
      <c r="V223" t="s">
        <v>1094</v>
      </c>
    </row>
    <row r="224" spans="1:22" hidden="1" x14ac:dyDescent="0.2">
      <c r="A224" t="s">
        <v>22</v>
      </c>
      <c r="B224" t="s">
        <v>750</v>
      </c>
      <c r="C224" t="s">
        <v>24</v>
      </c>
      <c r="D224" t="s">
        <v>1087</v>
      </c>
      <c r="E224" t="s">
        <v>395</v>
      </c>
      <c r="F224" t="s">
        <v>61</v>
      </c>
      <c r="G224" t="s">
        <v>28</v>
      </c>
      <c r="H224">
        <v>1</v>
      </c>
      <c r="I224" s="1" t="s">
        <v>1118</v>
      </c>
      <c r="J224" s="1" t="s">
        <v>1119</v>
      </c>
      <c r="K224">
        <v>1158</v>
      </c>
      <c r="L224">
        <v>498</v>
      </c>
      <c r="M224">
        <v>216</v>
      </c>
      <c r="N224">
        <v>119</v>
      </c>
      <c r="O224" s="2" t="s">
        <v>1120</v>
      </c>
      <c r="P224">
        <v>1</v>
      </c>
      <c r="Q224" t="s">
        <v>1121</v>
      </c>
      <c r="R224">
        <v>1</v>
      </c>
      <c r="S224" t="s">
        <v>1122</v>
      </c>
      <c r="T224">
        <v>1</v>
      </c>
      <c r="U224" t="s">
        <v>75</v>
      </c>
      <c r="V224" t="s">
        <v>1094</v>
      </c>
    </row>
    <row r="225" spans="1:22" hidden="1" x14ac:dyDescent="0.2">
      <c r="A225" t="s">
        <v>22</v>
      </c>
      <c r="B225" t="s">
        <v>750</v>
      </c>
      <c r="C225" t="s">
        <v>24</v>
      </c>
      <c r="D225" t="s">
        <v>1087</v>
      </c>
      <c r="E225" t="s">
        <v>395</v>
      </c>
      <c r="F225" t="s">
        <v>61</v>
      </c>
      <c r="G225" t="s">
        <v>28</v>
      </c>
      <c r="H225">
        <v>2</v>
      </c>
      <c r="I225" s="1" t="s">
        <v>1118</v>
      </c>
      <c r="J225" s="1" t="s">
        <v>1123</v>
      </c>
      <c r="K225">
        <v>1158</v>
      </c>
      <c r="L225">
        <v>498</v>
      </c>
      <c r="M225">
        <v>229</v>
      </c>
      <c r="N225">
        <v>134</v>
      </c>
      <c r="O225" s="2" t="s">
        <v>1124</v>
      </c>
      <c r="P225">
        <v>1</v>
      </c>
      <c r="Q225" t="s">
        <v>1125</v>
      </c>
      <c r="R225">
        <v>1</v>
      </c>
      <c r="S225" t="s">
        <v>1126</v>
      </c>
      <c r="T225">
        <v>1</v>
      </c>
      <c r="U225" t="s">
        <v>454</v>
      </c>
      <c r="V225" t="s">
        <v>1094</v>
      </c>
    </row>
    <row r="226" spans="1:22" hidden="1" x14ac:dyDescent="0.2">
      <c r="A226" t="s">
        <v>22</v>
      </c>
      <c r="B226" t="s">
        <v>750</v>
      </c>
      <c r="C226" t="s">
        <v>24</v>
      </c>
      <c r="D226" t="s">
        <v>1087</v>
      </c>
      <c r="E226" t="s">
        <v>395</v>
      </c>
      <c r="F226" t="s">
        <v>61</v>
      </c>
      <c r="G226" t="s">
        <v>28</v>
      </c>
      <c r="H226">
        <v>3</v>
      </c>
      <c r="I226" s="1" t="s">
        <v>1118</v>
      </c>
      <c r="J226" s="1" t="s">
        <v>1127</v>
      </c>
      <c r="K226">
        <v>1158</v>
      </c>
      <c r="L226">
        <v>498</v>
      </c>
      <c r="M226">
        <v>201</v>
      </c>
      <c r="N226">
        <v>111</v>
      </c>
      <c r="O226" s="2" t="s">
        <v>1128</v>
      </c>
      <c r="P226">
        <v>1</v>
      </c>
      <c r="Q226" t="s">
        <v>1129</v>
      </c>
      <c r="R226">
        <v>1</v>
      </c>
      <c r="S226" t="s">
        <v>1130</v>
      </c>
      <c r="T226">
        <v>1</v>
      </c>
      <c r="U226" t="s">
        <v>1131</v>
      </c>
      <c r="V226" t="s">
        <v>1094</v>
      </c>
    </row>
    <row r="227" spans="1:22" hidden="1" x14ac:dyDescent="0.2">
      <c r="A227" t="s">
        <v>76</v>
      </c>
      <c r="B227" t="s">
        <v>750</v>
      </c>
      <c r="C227" t="s">
        <v>24</v>
      </c>
      <c r="D227" t="s">
        <v>1087</v>
      </c>
      <c r="E227" t="s">
        <v>395</v>
      </c>
      <c r="F227" t="s">
        <v>77</v>
      </c>
      <c r="G227" t="s">
        <v>28</v>
      </c>
      <c r="H227">
        <v>1</v>
      </c>
      <c r="I227" s="1" t="s">
        <v>1118</v>
      </c>
      <c r="J227" s="1" t="s">
        <v>1132</v>
      </c>
      <c r="K227">
        <v>1033</v>
      </c>
      <c r="L227">
        <v>498</v>
      </c>
      <c r="M227">
        <v>150</v>
      </c>
      <c r="N227">
        <v>96</v>
      </c>
      <c r="O227" s="2" t="s">
        <v>1133</v>
      </c>
      <c r="P227">
        <v>1</v>
      </c>
      <c r="Q227" t="s">
        <v>1134</v>
      </c>
      <c r="R227">
        <v>0</v>
      </c>
      <c r="S227" t="s">
        <v>1135</v>
      </c>
      <c r="T227">
        <v>1</v>
      </c>
      <c r="U227" t="s">
        <v>1136</v>
      </c>
      <c r="V227" t="s">
        <v>1094</v>
      </c>
    </row>
    <row r="228" spans="1:22" hidden="1" x14ac:dyDescent="0.2">
      <c r="A228" t="s">
        <v>76</v>
      </c>
      <c r="B228" t="s">
        <v>750</v>
      </c>
      <c r="C228" t="s">
        <v>24</v>
      </c>
      <c r="D228" t="s">
        <v>1087</v>
      </c>
      <c r="E228" t="s">
        <v>395</v>
      </c>
      <c r="F228" t="s">
        <v>77</v>
      </c>
      <c r="G228" t="s">
        <v>28</v>
      </c>
      <c r="H228">
        <v>2</v>
      </c>
      <c r="I228" s="1" t="s">
        <v>1118</v>
      </c>
      <c r="J228" s="1" t="s">
        <v>1137</v>
      </c>
      <c r="K228">
        <v>1033</v>
      </c>
      <c r="L228">
        <v>498</v>
      </c>
      <c r="M228">
        <v>178</v>
      </c>
      <c r="N228">
        <v>120</v>
      </c>
      <c r="O228" s="2" t="s">
        <v>1138</v>
      </c>
      <c r="P228">
        <v>1</v>
      </c>
      <c r="Q228" t="s">
        <v>1139</v>
      </c>
      <c r="R228">
        <v>1</v>
      </c>
      <c r="S228" t="s">
        <v>1140</v>
      </c>
      <c r="T228">
        <v>1</v>
      </c>
      <c r="U228" t="s">
        <v>1141</v>
      </c>
      <c r="V228" t="s">
        <v>1094</v>
      </c>
    </row>
    <row r="229" spans="1:22" hidden="1" x14ac:dyDescent="0.2">
      <c r="A229" t="s">
        <v>76</v>
      </c>
      <c r="B229" t="s">
        <v>750</v>
      </c>
      <c r="C229" t="s">
        <v>24</v>
      </c>
      <c r="D229" t="s">
        <v>1087</v>
      </c>
      <c r="E229" t="s">
        <v>395</v>
      </c>
      <c r="F229" t="s">
        <v>77</v>
      </c>
      <c r="G229" t="s">
        <v>28</v>
      </c>
      <c r="H229">
        <v>3</v>
      </c>
      <c r="I229" s="1" t="s">
        <v>1118</v>
      </c>
      <c r="J229" s="1" t="s">
        <v>1142</v>
      </c>
      <c r="K229">
        <v>1033</v>
      </c>
      <c r="L229">
        <v>498</v>
      </c>
      <c r="M229">
        <v>173</v>
      </c>
      <c r="N229">
        <v>116</v>
      </c>
      <c r="O229" s="2" t="s">
        <v>1143</v>
      </c>
      <c r="P229">
        <v>1</v>
      </c>
      <c r="Q229" t="s">
        <v>1144</v>
      </c>
      <c r="R229">
        <v>1</v>
      </c>
      <c r="S229" t="s">
        <v>1145</v>
      </c>
      <c r="T229">
        <v>1</v>
      </c>
      <c r="U229" t="s">
        <v>104</v>
      </c>
      <c r="V229" t="s">
        <v>1094</v>
      </c>
    </row>
    <row r="230" spans="1:22" hidden="1" x14ac:dyDescent="0.2">
      <c r="A230" t="s">
        <v>93</v>
      </c>
      <c r="B230" t="s">
        <v>750</v>
      </c>
      <c r="C230" t="s">
        <v>24</v>
      </c>
      <c r="D230" t="s">
        <v>1087</v>
      </c>
      <c r="E230" t="s">
        <v>395</v>
      </c>
      <c r="F230" t="s">
        <v>94</v>
      </c>
      <c r="G230" t="s">
        <v>28</v>
      </c>
      <c r="H230">
        <v>1</v>
      </c>
      <c r="I230" s="1" t="s">
        <v>1088</v>
      </c>
      <c r="J230" s="1" t="s">
        <v>1146</v>
      </c>
      <c r="K230">
        <v>977</v>
      </c>
      <c r="L230">
        <v>462</v>
      </c>
      <c r="M230">
        <v>115</v>
      </c>
      <c r="N230">
        <v>77</v>
      </c>
      <c r="O230" s="2" t="s">
        <v>1147</v>
      </c>
      <c r="P230">
        <v>1</v>
      </c>
      <c r="Q230" t="s">
        <v>1148</v>
      </c>
      <c r="R230">
        <v>1</v>
      </c>
      <c r="S230" t="s">
        <v>1149</v>
      </c>
      <c r="T230">
        <v>1</v>
      </c>
      <c r="U230" t="s">
        <v>616</v>
      </c>
      <c r="V230" t="s">
        <v>1094</v>
      </c>
    </row>
    <row r="231" spans="1:22" hidden="1" x14ac:dyDescent="0.2">
      <c r="A231" t="s">
        <v>93</v>
      </c>
      <c r="B231" t="s">
        <v>750</v>
      </c>
      <c r="C231" t="s">
        <v>24</v>
      </c>
      <c r="D231" t="s">
        <v>1087</v>
      </c>
      <c r="E231" t="s">
        <v>395</v>
      </c>
      <c r="F231" t="s">
        <v>94</v>
      </c>
      <c r="G231" t="s">
        <v>28</v>
      </c>
      <c r="H231">
        <v>2</v>
      </c>
      <c r="I231" s="1" t="s">
        <v>1088</v>
      </c>
      <c r="J231" s="1" t="s">
        <v>1150</v>
      </c>
      <c r="K231">
        <v>977</v>
      </c>
      <c r="L231">
        <v>462</v>
      </c>
      <c r="M231">
        <v>98</v>
      </c>
      <c r="N231">
        <v>64</v>
      </c>
      <c r="O231" s="2" t="s">
        <v>1151</v>
      </c>
      <c r="P231">
        <v>1</v>
      </c>
      <c r="Q231" t="s">
        <v>1152</v>
      </c>
      <c r="R231">
        <v>1</v>
      </c>
      <c r="S231" t="s">
        <v>1153</v>
      </c>
      <c r="T231">
        <v>1</v>
      </c>
      <c r="U231" t="s">
        <v>1154</v>
      </c>
      <c r="V231" t="s">
        <v>1094</v>
      </c>
    </row>
    <row r="232" spans="1:22" hidden="1" x14ac:dyDescent="0.2">
      <c r="A232" t="s">
        <v>93</v>
      </c>
      <c r="B232" t="s">
        <v>750</v>
      </c>
      <c r="C232" t="s">
        <v>24</v>
      </c>
      <c r="D232" t="s">
        <v>1087</v>
      </c>
      <c r="E232" t="s">
        <v>395</v>
      </c>
      <c r="F232" t="s">
        <v>94</v>
      </c>
      <c r="G232" t="s">
        <v>28</v>
      </c>
      <c r="H232">
        <v>3</v>
      </c>
      <c r="I232" s="1" t="s">
        <v>1088</v>
      </c>
      <c r="J232" s="1" t="s">
        <v>1155</v>
      </c>
      <c r="K232">
        <v>977</v>
      </c>
      <c r="L232">
        <v>462</v>
      </c>
      <c r="M232">
        <v>107</v>
      </c>
      <c r="N232">
        <v>72</v>
      </c>
      <c r="O232" s="2" t="s">
        <v>1156</v>
      </c>
      <c r="P232">
        <v>1</v>
      </c>
      <c r="Q232" t="s">
        <v>1157</v>
      </c>
      <c r="R232">
        <v>1</v>
      </c>
      <c r="S232" t="s">
        <v>1158</v>
      </c>
      <c r="T232">
        <v>1</v>
      </c>
      <c r="U232" t="s">
        <v>227</v>
      </c>
      <c r="V232" t="s">
        <v>1094</v>
      </c>
    </row>
    <row r="233" spans="1:22" hidden="1" x14ac:dyDescent="0.2">
      <c r="A233" t="s">
        <v>93</v>
      </c>
      <c r="B233" t="s">
        <v>750</v>
      </c>
      <c r="C233" t="s">
        <v>24</v>
      </c>
      <c r="D233" t="s">
        <v>1087</v>
      </c>
      <c r="E233" t="s">
        <v>395</v>
      </c>
      <c r="F233" t="s">
        <v>110</v>
      </c>
      <c r="G233" t="s">
        <v>28</v>
      </c>
      <c r="H233">
        <v>1</v>
      </c>
      <c r="I233" s="1" t="s">
        <v>1104</v>
      </c>
      <c r="J233" s="1" t="s">
        <v>1159</v>
      </c>
      <c r="K233">
        <v>1002</v>
      </c>
      <c r="L233">
        <v>476</v>
      </c>
      <c r="M233">
        <v>182</v>
      </c>
      <c r="N233">
        <v>120</v>
      </c>
      <c r="O233" s="2" t="s">
        <v>1160</v>
      </c>
      <c r="P233">
        <v>1</v>
      </c>
      <c r="Q233" t="s">
        <v>1161</v>
      </c>
      <c r="R233">
        <v>1</v>
      </c>
      <c r="S233" t="s">
        <v>1162</v>
      </c>
      <c r="T233">
        <v>1</v>
      </c>
      <c r="U233" t="s">
        <v>1163</v>
      </c>
      <c r="V233" t="s">
        <v>1094</v>
      </c>
    </row>
    <row r="234" spans="1:22" hidden="1" x14ac:dyDescent="0.2">
      <c r="A234" t="s">
        <v>93</v>
      </c>
      <c r="B234" t="s">
        <v>750</v>
      </c>
      <c r="C234" t="s">
        <v>24</v>
      </c>
      <c r="D234" t="s">
        <v>1087</v>
      </c>
      <c r="E234" t="s">
        <v>395</v>
      </c>
      <c r="F234" t="s">
        <v>110</v>
      </c>
      <c r="G234" t="s">
        <v>28</v>
      </c>
      <c r="H234">
        <v>2</v>
      </c>
      <c r="I234" s="1" t="s">
        <v>1104</v>
      </c>
      <c r="J234" s="1" t="s">
        <v>1164</v>
      </c>
      <c r="K234">
        <v>1002</v>
      </c>
      <c r="L234">
        <v>476</v>
      </c>
      <c r="M234">
        <v>193</v>
      </c>
      <c r="N234">
        <v>136</v>
      </c>
      <c r="O234" s="2" t="s">
        <v>1165</v>
      </c>
      <c r="P234">
        <v>1</v>
      </c>
      <c r="Q234" t="s">
        <v>1166</v>
      </c>
      <c r="R234">
        <v>1</v>
      </c>
      <c r="S234" t="s">
        <v>1167</v>
      </c>
      <c r="T234">
        <v>1</v>
      </c>
      <c r="U234" t="s">
        <v>1168</v>
      </c>
      <c r="V234" t="s">
        <v>1094</v>
      </c>
    </row>
    <row r="235" spans="1:22" hidden="1" x14ac:dyDescent="0.2">
      <c r="A235" t="s">
        <v>93</v>
      </c>
      <c r="B235" t="s">
        <v>750</v>
      </c>
      <c r="C235" t="s">
        <v>24</v>
      </c>
      <c r="D235" t="s">
        <v>1087</v>
      </c>
      <c r="E235" t="s">
        <v>395</v>
      </c>
      <c r="F235" t="s">
        <v>110</v>
      </c>
      <c r="G235" t="s">
        <v>28</v>
      </c>
      <c r="H235">
        <v>3</v>
      </c>
      <c r="I235" s="1" t="s">
        <v>1104</v>
      </c>
      <c r="J235" s="1" t="s">
        <v>1169</v>
      </c>
      <c r="K235">
        <v>1002</v>
      </c>
      <c r="L235">
        <v>476</v>
      </c>
      <c r="M235">
        <v>186</v>
      </c>
      <c r="N235">
        <v>129</v>
      </c>
      <c r="O235" s="2" t="s">
        <v>1170</v>
      </c>
      <c r="P235">
        <v>1</v>
      </c>
      <c r="Q235" t="s">
        <v>1171</v>
      </c>
      <c r="R235">
        <v>1</v>
      </c>
      <c r="S235" t="s">
        <v>1172</v>
      </c>
      <c r="T235">
        <v>1</v>
      </c>
      <c r="U235" t="s">
        <v>1173</v>
      </c>
      <c r="V235" t="s">
        <v>1094</v>
      </c>
    </row>
    <row r="236" spans="1:22" hidden="1" x14ac:dyDescent="0.2">
      <c r="A236" t="s">
        <v>93</v>
      </c>
      <c r="B236" t="s">
        <v>750</v>
      </c>
      <c r="C236" t="s">
        <v>24</v>
      </c>
      <c r="D236" t="s">
        <v>1087</v>
      </c>
      <c r="E236" t="s">
        <v>395</v>
      </c>
      <c r="F236" t="s">
        <v>125</v>
      </c>
      <c r="G236" t="s">
        <v>28</v>
      </c>
      <c r="H236">
        <v>1</v>
      </c>
      <c r="I236" s="1" t="s">
        <v>1118</v>
      </c>
      <c r="J236" s="1" t="s">
        <v>1174</v>
      </c>
      <c r="K236">
        <v>1033</v>
      </c>
      <c r="L236">
        <v>498</v>
      </c>
      <c r="M236">
        <v>204</v>
      </c>
      <c r="N236">
        <v>128</v>
      </c>
      <c r="O236" s="2" t="s">
        <v>1175</v>
      </c>
      <c r="P236">
        <v>1</v>
      </c>
      <c r="Q236" t="s">
        <v>1176</v>
      </c>
      <c r="R236">
        <v>1</v>
      </c>
      <c r="S236" t="s">
        <v>1177</v>
      </c>
      <c r="T236">
        <v>1</v>
      </c>
      <c r="U236" t="s">
        <v>1178</v>
      </c>
      <c r="V236" t="s">
        <v>1094</v>
      </c>
    </row>
    <row r="237" spans="1:22" hidden="1" x14ac:dyDescent="0.2">
      <c r="A237" t="s">
        <v>93</v>
      </c>
      <c r="B237" t="s">
        <v>750</v>
      </c>
      <c r="C237" t="s">
        <v>24</v>
      </c>
      <c r="D237" t="s">
        <v>1087</v>
      </c>
      <c r="E237" t="s">
        <v>395</v>
      </c>
      <c r="F237" t="s">
        <v>125</v>
      </c>
      <c r="G237" t="s">
        <v>28</v>
      </c>
      <c r="H237">
        <v>2</v>
      </c>
      <c r="I237" s="1" t="s">
        <v>1118</v>
      </c>
      <c r="J237" s="1" t="s">
        <v>1179</v>
      </c>
      <c r="K237">
        <v>1033</v>
      </c>
      <c r="L237">
        <v>498</v>
      </c>
      <c r="M237">
        <v>234</v>
      </c>
      <c r="N237">
        <v>166</v>
      </c>
      <c r="O237" s="2" t="s">
        <v>1180</v>
      </c>
      <c r="P237">
        <v>1</v>
      </c>
      <c r="Q237" t="s">
        <v>1181</v>
      </c>
      <c r="R237">
        <v>1</v>
      </c>
      <c r="S237" t="s">
        <v>1182</v>
      </c>
      <c r="T237">
        <v>1</v>
      </c>
      <c r="U237" t="s">
        <v>1183</v>
      </c>
      <c r="V237" t="s">
        <v>1094</v>
      </c>
    </row>
    <row r="238" spans="1:22" hidden="1" x14ac:dyDescent="0.2">
      <c r="A238" t="s">
        <v>93</v>
      </c>
      <c r="B238" t="s">
        <v>750</v>
      </c>
      <c r="C238" t="s">
        <v>24</v>
      </c>
      <c r="D238" t="s">
        <v>1087</v>
      </c>
      <c r="E238" t="s">
        <v>395</v>
      </c>
      <c r="F238" t="s">
        <v>125</v>
      </c>
      <c r="G238" t="s">
        <v>28</v>
      </c>
      <c r="H238">
        <v>3</v>
      </c>
      <c r="I238" s="1" t="s">
        <v>1118</v>
      </c>
      <c r="J238" s="1" t="s">
        <v>1184</v>
      </c>
      <c r="K238">
        <v>1033</v>
      </c>
      <c r="L238">
        <v>498</v>
      </c>
      <c r="M238">
        <v>159</v>
      </c>
      <c r="N238">
        <v>97</v>
      </c>
      <c r="O238">
        <v>2.2344121932983398</v>
      </c>
      <c r="P238">
        <v>1</v>
      </c>
      <c r="Q238" t="s">
        <v>1185</v>
      </c>
      <c r="R238">
        <v>1</v>
      </c>
      <c r="S238" t="s">
        <v>1186</v>
      </c>
      <c r="T238">
        <v>1</v>
      </c>
      <c r="U238" t="s">
        <v>573</v>
      </c>
      <c r="V238" t="s">
        <v>1094</v>
      </c>
    </row>
    <row r="239" spans="1:22" hidden="1" x14ac:dyDescent="0.2">
      <c r="A239" t="s">
        <v>140</v>
      </c>
      <c r="B239" t="s">
        <v>750</v>
      </c>
      <c r="C239" t="s">
        <v>24</v>
      </c>
      <c r="D239" t="s">
        <v>1087</v>
      </c>
      <c r="E239" t="s">
        <v>395</v>
      </c>
      <c r="F239" t="s">
        <v>141</v>
      </c>
      <c r="G239" t="s">
        <v>28</v>
      </c>
      <c r="H239">
        <v>1</v>
      </c>
      <c r="I239" s="1" t="s">
        <v>1187</v>
      </c>
      <c r="J239" t="s">
        <v>1188</v>
      </c>
      <c r="K239">
        <v>941</v>
      </c>
      <c r="L239">
        <v>447</v>
      </c>
      <c r="M239">
        <v>2414</v>
      </c>
      <c r="N239">
        <v>27</v>
      </c>
      <c r="O239" s="2" t="s">
        <v>1189</v>
      </c>
      <c r="P239">
        <v>1</v>
      </c>
      <c r="Q239" t="s">
        <v>1190</v>
      </c>
      <c r="R239">
        <v>1</v>
      </c>
      <c r="S239" t="s">
        <v>1191</v>
      </c>
      <c r="T239">
        <v>1</v>
      </c>
      <c r="U239" t="s">
        <v>1192</v>
      </c>
      <c r="V239" t="s">
        <v>1094</v>
      </c>
    </row>
    <row r="240" spans="1:22" hidden="1" x14ac:dyDescent="0.2">
      <c r="A240" t="s">
        <v>140</v>
      </c>
      <c r="B240" t="s">
        <v>750</v>
      </c>
      <c r="C240" t="s">
        <v>24</v>
      </c>
      <c r="D240" t="s">
        <v>1087</v>
      </c>
      <c r="E240" t="s">
        <v>395</v>
      </c>
      <c r="F240" t="s">
        <v>141</v>
      </c>
      <c r="G240" t="s">
        <v>28</v>
      </c>
      <c r="H240">
        <v>2</v>
      </c>
      <c r="I240" s="1" t="s">
        <v>1187</v>
      </c>
      <c r="J240" t="s">
        <v>1193</v>
      </c>
      <c r="K240">
        <v>941</v>
      </c>
      <c r="L240">
        <v>447</v>
      </c>
      <c r="M240">
        <v>2548</v>
      </c>
      <c r="N240">
        <v>31</v>
      </c>
      <c r="O240" s="2" t="s">
        <v>1194</v>
      </c>
      <c r="P240">
        <v>1</v>
      </c>
      <c r="Q240" t="s">
        <v>1195</v>
      </c>
      <c r="R240">
        <v>1</v>
      </c>
      <c r="S240" t="s">
        <v>1196</v>
      </c>
      <c r="T240">
        <v>1</v>
      </c>
      <c r="U240" t="s">
        <v>339</v>
      </c>
      <c r="V240" t="s">
        <v>1094</v>
      </c>
    </row>
    <row r="241" spans="1:22" hidden="1" x14ac:dyDescent="0.2">
      <c r="A241" t="s">
        <v>140</v>
      </c>
      <c r="B241" t="s">
        <v>750</v>
      </c>
      <c r="C241" t="s">
        <v>24</v>
      </c>
      <c r="D241" t="s">
        <v>1087</v>
      </c>
      <c r="E241" t="s">
        <v>395</v>
      </c>
      <c r="F241" t="s">
        <v>141</v>
      </c>
      <c r="G241" t="s">
        <v>28</v>
      </c>
      <c r="H241">
        <v>3</v>
      </c>
      <c r="I241" s="1" t="s">
        <v>1187</v>
      </c>
      <c r="J241" t="s">
        <v>1197</v>
      </c>
      <c r="K241">
        <v>941</v>
      </c>
      <c r="L241">
        <v>447</v>
      </c>
      <c r="M241">
        <v>2157</v>
      </c>
      <c r="N241">
        <v>26</v>
      </c>
      <c r="O241" s="2" t="s">
        <v>1198</v>
      </c>
      <c r="P241">
        <v>1</v>
      </c>
      <c r="Q241" t="s">
        <v>1199</v>
      </c>
      <c r="R241">
        <v>1</v>
      </c>
      <c r="S241" t="s">
        <v>1200</v>
      </c>
      <c r="T241">
        <v>1</v>
      </c>
      <c r="U241" t="s">
        <v>1201</v>
      </c>
      <c r="V241" t="s">
        <v>1094</v>
      </c>
    </row>
    <row r="242" spans="1:22" hidden="1" x14ac:dyDescent="0.2">
      <c r="A242" t="s">
        <v>22</v>
      </c>
      <c r="B242" t="s">
        <v>750</v>
      </c>
      <c r="C242" t="s">
        <v>24</v>
      </c>
      <c r="D242" t="s">
        <v>1202</v>
      </c>
      <c r="E242" t="s">
        <v>395</v>
      </c>
      <c r="F242" t="s">
        <v>27</v>
      </c>
      <c r="G242" t="s">
        <v>28</v>
      </c>
      <c r="H242">
        <v>1</v>
      </c>
      <c r="I242" s="1" t="s">
        <v>1203</v>
      </c>
      <c r="J242" s="1" t="s">
        <v>1204</v>
      </c>
      <c r="K242">
        <v>1203</v>
      </c>
      <c r="L242">
        <v>516</v>
      </c>
      <c r="M242">
        <v>122</v>
      </c>
      <c r="N242">
        <v>74</v>
      </c>
      <c r="O242" s="2" t="s">
        <v>1205</v>
      </c>
      <c r="P242">
        <v>1</v>
      </c>
      <c r="Q242" t="s">
        <v>1206</v>
      </c>
      <c r="R242">
        <v>1</v>
      </c>
      <c r="S242" t="s">
        <v>1207</v>
      </c>
      <c r="T242">
        <v>1</v>
      </c>
      <c r="U242" t="s">
        <v>1208</v>
      </c>
      <c r="V242" t="s">
        <v>1209</v>
      </c>
    </row>
    <row r="243" spans="1:22" hidden="1" x14ac:dyDescent="0.2">
      <c r="A243" t="s">
        <v>22</v>
      </c>
      <c r="B243" t="s">
        <v>750</v>
      </c>
      <c r="C243" t="s">
        <v>24</v>
      </c>
      <c r="D243" t="s">
        <v>1202</v>
      </c>
      <c r="E243" t="s">
        <v>395</v>
      </c>
      <c r="F243" t="s">
        <v>27</v>
      </c>
      <c r="G243" t="s">
        <v>28</v>
      </c>
      <c r="H243">
        <v>2</v>
      </c>
      <c r="I243" s="1" t="s">
        <v>1203</v>
      </c>
      <c r="J243" s="1" t="s">
        <v>1210</v>
      </c>
      <c r="K243">
        <v>1203</v>
      </c>
      <c r="L243">
        <v>516</v>
      </c>
      <c r="M243">
        <v>128</v>
      </c>
      <c r="N243">
        <v>77</v>
      </c>
      <c r="O243" s="2" t="s">
        <v>1211</v>
      </c>
      <c r="P243">
        <v>1</v>
      </c>
      <c r="Q243" t="s">
        <v>1212</v>
      </c>
      <c r="R243">
        <v>1</v>
      </c>
      <c r="S243" t="s">
        <v>1213</v>
      </c>
      <c r="T243">
        <v>1</v>
      </c>
      <c r="U243" t="s">
        <v>1214</v>
      </c>
      <c r="V243" t="s">
        <v>1209</v>
      </c>
    </row>
    <row r="244" spans="1:22" hidden="1" x14ac:dyDescent="0.2">
      <c r="A244" t="s">
        <v>22</v>
      </c>
      <c r="B244" t="s">
        <v>750</v>
      </c>
      <c r="C244" t="s">
        <v>24</v>
      </c>
      <c r="D244" t="s">
        <v>1202</v>
      </c>
      <c r="E244" t="s">
        <v>395</v>
      </c>
      <c r="F244" t="s">
        <v>27</v>
      </c>
      <c r="G244" t="s">
        <v>28</v>
      </c>
      <c r="H244">
        <v>3</v>
      </c>
      <c r="I244" s="1" t="s">
        <v>1203</v>
      </c>
      <c r="J244" s="1" t="s">
        <v>1215</v>
      </c>
      <c r="K244">
        <v>1203</v>
      </c>
      <c r="L244">
        <v>516</v>
      </c>
      <c r="M244">
        <v>125</v>
      </c>
      <c r="N244">
        <v>77</v>
      </c>
      <c r="O244" s="2" t="s">
        <v>1216</v>
      </c>
      <c r="P244">
        <v>1</v>
      </c>
      <c r="Q244" t="s">
        <v>1217</v>
      </c>
      <c r="R244">
        <v>1</v>
      </c>
      <c r="S244" t="s">
        <v>1218</v>
      </c>
      <c r="T244">
        <v>1</v>
      </c>
      <c r="U244" t="s">
        <v>1163</v>
      </c>
      <c r="V244" t="s">
        <v>1209</v>
      </c>
    </row>
    <row r="245" spans="1:22" hidden="1" x14ac:dyDescent="0.2">
      <c r="A245" t="s">
        <v>22</v>
      </c>
      <c r="B245" t="s">
        <v>750</v>
      </c>
      <c r="C245" t="s">
        <v>24</v>
      </c>
      <c r="D245" t="s">
        <v>1202</v>
      </c>
      <c r="E245" t="s">
        <v>395</v>
      </c>
      <c r="F245" t="s">
        <v>46</v>
      </c>
      <c r="G245" t="s">
        <v>28</v>
      </c>
      <c r="H245">
        <v>1</v>
      </c>
      <c r="I245" s="1" t="s">
        <v>1219</v>
      </c>
      <c r="J245" s="1" t="s">
        <v>1220</v>
      </c>
      <c r="K245">
        <v>1231</v>
      </c>
      <c r="L245">
        <v>530</v>
      </c>
      <c r="M245">
        <v>215</v>
      </c>
      <c r="N245">
        <v>133</v>
      </c>
      <c r="O245" s="2" t="s">
        <v>1221</v>
      </c>
      <c r="P245">
        <v>1</v>
      </c>
      <c r="Q245" t="s">
        <v>1222</v>
      </c>
      <c r="R245">
        <v>1</v>
      </c>
      <c r="S245" t="s">
        <v>1223</v>
      </c>
      <c r="T245">
        <v>1</v>
      </c>
      <c r="U245" t="s">
        <v>1224</v>
      </c>
      <c r="V245" t="s">
        <v>1209</v>
      </c>
    </row>
    <row r="246" spans="1:22" hidden="1" x14ac:dyDescent="0.2">
      <c r="A246" t="s">
        <v>22</v>
      </c>
      <c r="B246" t="s">
        <v>750</v>
      </c>
      <c r="C246" t="s">
        <v>24</v>
      </c>
      <c r="D246" t="s">
        <v>1202</v>
      </c>
      <c r="E246" t="s">
        <v>395</v>
      </c>
      <c r="F246" t="s">
        <v>46</v>
      </c>
      <c r="G246" t="s">
        <v>28</v>
      </c>
      <c r="H246">
        <v>2</v>
      </c>
      <c r="I246" s="1" t="s">
        <v>1219</v>
      </c>
      <c r="J246" s="1" t="s">
        <v>1225</v>
      </c>
      <c r="K246">
        <v>1231</v>
      </c>
      <c r="L246">
        <v>530</v>
      </c>
      <c r="M246">
        <v>188</v>
      </c>
      <c r="N246">
        <v>113</v>
      </c>
      <c r="O246" s="2" t="s">
        <v>1226</v>
      </c>
      <c r="P246">
        <v>1</v>
      </c>
      <c r="Q246" t="s">
        <v>1227</v>
      </c>
      <c r="R246">
        <v>1</v>
      </c>
      <c r="S246" t="s">
        <v>1228</v>
      </c>
      <c r="T246">
        <v>1</v>
      </c>
      <c r="U246" t="s">
        <v>82</v>
      </c>
      <c r="V246" t="s">
        <v>1209</v>
      </c>
    </row>
    <row r="247" spans="1:22" hidden="1" x14ac:dyDescent="0.2">
      <c r="A247" t="s">
        <v>22</v>
      </c>
      <c r="B247" t="s">
        <v>750</v>
      </c>
      <c r="C247" t="s">
        <v>24</v>
      </c>
      <c r="D247" t="s">
        <v>1202</v>
      </c>
      <c r="E247" t="s">
        <v>395</v>
      </c>
      <c r="F247" t="s">
        <v>46</v>
      </c>
      <c r="G247" t="s">
        <v>28</v>
      </c>
      <c r="H247">
        <v>3</v>
      </c>
      <c r="I247" s="1" t="s">
        <v>1219</v>
      </c>
      <c r="J247" s="1" t="s">
        <v>1229</v>
      </c>
      <c r="K247">
        <v>1231</v>
      </c>
      <c r="L247">
        <v>530</v>
      </c>
      <c r="M247">
        <v>199</v>
      </c>
      <c r="N247">
        <v>124</v>
      </c>
      <c r="O247" s="2" t="s">
        <v>1230</v>
      </c>
      <c r="P247">
        <v>1</v>
      </c>
      <c r="Q247" t="s">
        <v>1231</v>
      </c>
      <c r="R247">
        <v>1</v>
      </c>
      <c r="S247" t="s">
        <v>1232</v>
      </c>
      <c r="T247">
        <v>1</v>
      </c>
      <c r="U247" t="s">
        <v>449</v>
      </c>
      <c r="V247" t="s">
        <v>1209</v>
      </c>
    </row>
    <row r="248" spans="1:22" hidden="1" x14ac:dyDescent="0.2">
      <c r="A248" t="s">
        <v>22</v>
      </c>
      <c r="B248" t="s">
        <v>750</v>
      </c>
      <c r="C248" t="s">
        <v>24</v>
      </c>
      <c r="D248" t="s">
        <v>1202</v>
      </c>
      <c r="E248" t="s">
        <v>395</v>
      </c>
      <c r="F248" t="s">
        <v>61</v>
      </c>
      <c r="G248" t="s">
        <v>28</v>
      </c>
      <c r="H248">
        <v>1</v>
      </c>
      <c r="I248" s="1" t="s">
        <v>1233</v>
      </c>
      <c r="J248" s="1" t="s">
        <v>1234</v>
      </c>
      <c r="K248">
        <v>1266</v>
      </c>
      <c r="L248">
        <v>552</v>
      </c>
      <c r="M248">
        <v>195</v>
      </c>
      <c r="N248">
        <v>110</v>
      </c>
      <c r="O248" s="2" t="s">
        <v>1235</v>
      </c>
      <c r="P248">
        <v>1</v>
      </c>
      <c r="Q248" t="s">
        <v>1236</v>
      </c>
      <c r="R248">
        <v>1</v>
      </c>
      <c r="S248" t="s">
        <v>1237</v>
      </c>
      <c r="T248">
        <v>1</v>
      </c>
      <c r="U248" t="s">
        <v>375</v>
      </c>
      <c r="V248" t="s">
        <v>1209</v>
      </c>
    </row>
    <row r="249" spans="1:22" hidden="1" x14ac:dyDescent="0.2">
      <c r="A249" t="s">
        <v>22</v>
      </c>
      <c r="B249" t="s">
        <v>750</v>
      </c>
      <c r="C249" t="s">
        <v>24</v>
      </c>
      <c r="D249" t="s">
        <v>1202</v>
      </c>
      <c r="E249" t="s">
        <v>395</v>
      </c>
      <c r="F249" t="s">
        <v>61</v>
      </c>
      <c r="G249" t="s">
        <v>28</v>
      </c>
      <c r="H249">
        <v>2</v>
      </c>
      <c r="I249" s="1" t="s">
        <v>1233</v>
      </c>
      <c r="J249" s="1" t="s">
        <v>1238</v>
      </c>
      <c r="K249">
        <v>1266</v>
      </c>
      <c r="L249">
        <v>552</v>
      </c>
      <c r="M249">
        <v>191</v>
      </c>
      <c r="N249">
        <v>103</v>
      </c>
      <c r="O249" s="2" t="s">
        <v>1239</v>
      </c>
      <c r="P249">
        <v>1</v>
      </c>
      <c r="Q249" t="s">
        <v>1240</v>
      </c>
      <c r="R249">
        <v>1</v>
      </c>
      <c r="S249" t="s">
        <v>1241</v>
      </c>
      <c r="T249">
        <v>1</v>
      </c>
      <c r="U249" t="s">
        <v>1242</v>
      </c>
      <c r="V249" t="s">
        <v>1209</v>
      </c>
    </row>
    <row r="250" spans="1:22" hidden="1" x14ac:dyDescent="0.2">
      <c r="A250" t="s">
        <v>22</v>
      </c>
      <c r="B250" t="s">
        <v>750</v>
      </c>
      <c r="C250" t="s">
        <v>24</v>
      </c>
      <c r="D250" t="s">
        <v>1202</v>
      </c>
      <c r="E250" t="s">
        <v>395</v>
      </c>
      <c r="F250" t="s">
        <v>61</v>
      </c>
      <c r="G250" t="s">
        <v>28</v>
      </c>
      <c r="H250">
        <v>3</v>
      </c>
      <c r="I250" s="1" t="s">
        <v>1233</v>
      </c>
      <c r="J250" s="1" t="s">
        <v>1243</v>
      </c>
      <c r="K250">
        <v>1266</v>
      </c>
      <c r="L250">
        <v>552</v>
      </c>
      <c r="M250">
        <v>193</v>
      </c>
      <c r="N250">
        <v>109</v>
      </c>
      <c r="O250" s="2" t="s">
        <v>1244</v>
      </c>
      <c r="P250">
        <v>1</v>
      </c>
      <c r="Q250" t="s">
        <v>1245</v>
      </c>
      <c r="R250">
        <v>1</v>
      </c>
      <c r="S250" t="s">
        <v>1246</v>
      </c>
      <c r="T250">
        <v>1</v>
      </c>
      <c r="U250" t="s">
        <v>1247</v>
      </c>
      <c r="V250" t="s">
        <v>1209</v>
      </c>
    </row>
    <row r="251" spans="1:22" hidden="1" x14ac:dyDescent="0.2">
      <c r="A251" t="s">
        <v>76</v>
      </c>
      <c r="B251" t="s">
        <v>750</v>
      </c>
      <c r="C251" t="s">
        <v>24</v>
      </c>
      <c r="D251" t="s">
        <v>1202</v>
      </c>
      <c r="E251" t="s">
        <v>395</v>
      </c>
      <c r="F251" t="s">
        <v>77</v>
      </c>
      <c r="G251" t="s">
        <v>28</v>
      </c>
      <c r="H251">
        <v>1</v>
      </c>
      <c r="I251" s="1" t="s">
        <v>1233</v>
      </c>
      <c r="J251" s="1" t="s">
        <v>1248</v>
      </c>
      <c r="K251">
        <v>1123</v>
      </c>
      <c r="L251">
        <v>552</v>
      </c>
      <c r="M251">
        <v>148</v>
      </c>
      <c r="N251">
        <v>90</v>
      </c>
      <c r="O251" s="2" t="s">
        <v>1249</v>
      </c>
      <c r="P251">
        <v>1</v>
      </c>
      <c r="Q251" t="s">
        <v>1250</v>
      </c>
      <c r="R251">
        <v>1</v>
      </c>
      <c r="S251" t="s">
        <v>1251</v>
      </c>
      <c r="T251">
        <v>1</v>
      </c>
      <c r="U251" t="s">
        <v>616</v>
      </c>
      <c r="V251" t="s">
        <v>1209</v>
      </c>
    </row>
    <row r="252" spans="1:22" hidden="1" x14ac:dyDescent="0.2">
      <c r="A252" t="s">
        <v>76</v>
      </c>
      <c r="B252" t="s">
        <v>750</v>
      </c>
      <c r="C252" t="s">
        <v>24</v>
      </c>
      <c r="D252" t="s">
        <v>1202</v>
      </c>
      <c r="E252" t="s">
        <v>395</v>
      </c>
      <c r="F252" t="s">
        <v>77</v>
      </c>
      <c r="G252" t="s">
        <v>28</v>
      </c>
      <c r="H252">
        <v>2</v>
      </c>
      <c r="I252" s="1" t="s">
        <v>1233</v>
      </c>
      <c r="J252" s="1" t="s">
        <v>1252</v>
      </c>
      <c r="K252">
        <v>1123</v>
      </c>
      <c r="L252">
        <v>552</v>
      </c>
      <c r="M252">
        <v>157</v>
      </c>
      <c r="N252">
        <v>98</v>
      </c>
      <c r="O252" s="2" t="s">
        <v>1253</v>
      </c>
      <c r="P252">
        <v>1</v>
      </c>
      <c r="Q252" t="s">
        <v>1254</v>
      </c>
      <c r="R252">
        <v>1</v>
      </c>
      <c r="S252" t="s">
        <v>1255</v>
      </c>
      <c r="T252">
        <v>1</v>
      </c>
      <c r="U252" t="s">
        <v>1256</v>
      </c>
      <c r="V252" t="s">
        <v>1209</v>
      </c>
    </row>
    <row r="253" spans="1:22" hidden="1" x14ac:dyDescent="0.2">
      <c r="A253" t="s">
        <v>76</v>
      </c>
      <c r="B253" t="s">
        <v>750</v>
      </c>
      <c r="C253" t="s">
        <v>24</v>
      </c>
      <c r="D253" t="s">
        <v>1202</v>
      </c>
      <c r="E253" t="s">
        <v>395</v>
      </c>
      <c r="F253" t="s">
        <v>77</v>
      </c>
      <c r="G253" t="s">
        <v>28</v>
      </c>
      <c r="H253">
        <v>3</v>
      </c>
      <c r="I253" s="1" t="s">
        <v>1233</v>
      </c>
      <c r="J253" s="1" t="s">
        <v>1257</v>
      </c>
      <c r="K253">
        <v>1123</v>
      </c>
      <c r="L253">
        <v>552</v>
      </c>
      <c r="M253">
        <v>155</v>
      </c>
      <c r="N253">
        <v>98</v>
      </c>
      <c r="O253" s="2" t="s">
        <v>1258</v>
      </c>
      <c r="P253">
        <v>1</v>
      </c>
      <c r="Q253" t="s">
        <v>1259</v>
      </c>
      <c r="R253">
        <v>1</v>
      </c>
      <c r="S253" t="s">
        <v>1260</v>
      </c>
      <c r="T253">
        <v>1</v>
      </c>
      <c r="U253" t="s">
        <v>104</v>
      </c>
      <c r="V253" t="s">
        <v>1209</v>
      </c>
    </row>
    <row r="254" spans="1:22" hidden="1" x14ac:dyDescent="0.2">
      <c r="A254" t="s">
        <v>93</v>
      </c>
      <c r="B254" t="s">
        <v>750</v>
      </c>
      <c r="C254" t="s">
        <v>24</v>
      </c>
      <c r="D254" t="s">
        <v>1202</v>
      </c>
      <c r="E254" t="s">
        <v>395</v>
      </c>
      <c r="F254" t="s">
        <v>94</v>
      </c>
      <c r="G254" t="s">
        <v>28</v>
      </c>
      <c r="H254">
        <v>1</v>
      </c>
      <c r="I254" s="1" t="s">
        <v>1203</v>
      </c>
      <c r="J254" s="1" t="s">
        <v>1261</v>
      </c>
      <c r="K254">
        <v>1067</v>
      </c>
      <c r="L254">
        <v>516</v>
      </c>
      <c r="M254">
        <v>107</v>
      </c>
      <c r="N254">
        <v>70</v>
      </c>
      <c r="O254" s="2" t="s">
        <v>1262</v>
      </c>
      <c r="P254">
        <v>1</v>
      </c>
      <c r="Q254" t="s">
        <v>1263</v>
      </c>
      <c r="R254">
        <v>1</v>
      </c>
      <c r="S254" t="s">
        <v>1264</v>
      </c>
      <c r="T254">
        <v>1</v>
      </c>
      <c r="U254" t="s">
        <v>1265</v>
      </c>
      <c r="V254" t="s">
        <v>1209</v>
      </c>
    </row>
    <row r="255" spans="1:22" hidden="1" x14ac:dyDescent="0.2">
      <c r="A255" t="s">
        <v>93</v>
      </c>
      <c r="B255" t="s">
        <v>750</v>
      </c>
      <c r="C255" t="s">
        <v>24</v>
      </c>
      <c r="D255" t="s">
        <v>1202</v>
      </c>
      <c r="E255" t="s">
        <v>395</v>
      </c>
      <c r="F255" t="s">
        <v>94</v>
      </c>
      <c r="G255" t="s">
        <v>28</v>
      </c>
      <c r="H255">
        <v>2</v>
      </c>
      <c r="I255" s="1" t="s">
        <v>1203</v>
      </c>
      <c r="J255" s="1" t="s">
        <v>1266</v>
      </c>
      <c r="K255">
        <v>1067</v>
      </c>
      <c r="L255">
        <v>516</v>
      </c>
      <c r="M255">
        <v>117</v>
      </c>
      <c r="N255">
        <v>81</v>
      </c>
      <c r="O255" s="2" t="s">
        <v>1267</v>
      </c>
      <c r="P255">
        <v>1</v>
      </c>
      <c r="Q255" t="s">
        <v>1268</v>
      </c>
      <c r="R255">
        <v>1</v>
      </c>
      <c r="S255" t="s">
        <v>1269</v>
      </c>
      <c r="T255">
        <v>1</v>
      </c>
      <c r="U255" t="s">
        <v>1270</v>
      </c>
      <c r="V255" t="s">
        <v>1209</v>
      </c>
    </row>
    <row r="256" spans="1:22" hidden="1" x14ac:dyDescent="0.2">
      <c r="A256" t="s">
        <v>93</v>
      </c>
      <c r="B256" t="s">
        <v>750</v>
      </c>
      <c r="C256" t="s">
        <v>24</v>
      </c>
      <c r="D256" t="s">
        <v>1202</v>
      </c>
      <c r="E256" t="s">
        <v>395</v>
      </c>
      <c r="F256" t="s">
        <v>94</v>
      </c>
      <c r="G256" t="s">
        <v>28</v>
      </c>
      <c r="H256">
        <v>3</v>
      </c>
      <c r="I256" s="1" t="s">
        <v>1203</v>
      </c>
      <c r="J256" s="1" t="s">
        <v>1271</v>
      </c>
      <c r="K256">
        <v>1067</v>
      </c>
      <c r="L256">
        <v>516</v>
      </c>
      <c r="M256">
        <v>97</v>
      </c>
      <c r="N256">
        <v>63</v>
      </c>
      <c r="O256" s="2" t="s">
        <v>1272</v>
      </c>
      <c r="P256">
        <v>1</v>
      </c>
      <c r="Q256" t="s">
        <v>1273</v>
      </c>
      <c r="R256">
        <v>1</v>
      </c>
      <c r="S256" t="s">
        <v>1274</v>
      </c>
      <c r="T256">
        <v>1</v>
      </c>
      <c r="U256" t="s">
        <v>109</v>
      </c>
      <c r="V256" t="s">
        <v>1209</v>
      </c>
    </row>
    <row r="257" spans="1:22" hidden="1" x14ac:dyDescent="0.2">
      <c r="A257" t="s">
        <v>93</v>
      </c>
      <c r="B257" t="s">
        <v>750</v>
      </c>
      <c r="C257" t="s">
        <v>24</v>
      </c>
      <c r="D257" t="s">
        <v>1202</v>
      </c>
      <c r="E257" t="s">
        <v>395</v>
      </c>
      <c r="F257" t="s">
        <v>110</v>
      </c>
      <c r="G257" t="s">
        <v>28</v>
      </c>
      <c r="H257">
        <v>1</v>
      </c>
      <c r="I257" s="1" t="s">
        <v>1219</v>
      </c>
      <c r="J257" s="1" t="s">
        <v>1275</v>
      </c>
      <c r="K257">
        <v>1092</v>
      </c>
      <c r="L257">
        <v>530</v>
      </c>
      <c r="M257">
        <v>157</v>
      </c>
      <c r="N257">
        <v>106</v>
      </c>
      <c r="O257" s="2" t="s">
        <v>1276</v>
      </c>
      <c r="P257">
        <v>1</v>
      </c>
      <c r="Q257" t="s">
        <v>1277</v>
      </c>
      <c r="R257">
        <v>1</v>
      </c>
      <c r="S257" t="s">
        <v>1278</v>
      </c>
      <c r="T257">
        <v>1</v>
      </c>
      <c r="U257" t="s">
        <v>1279</v>
      </c>
      <c r="V257" t="s">
        <v>1209</v>
      </c>
    </row>
    <row r="258" spans="1:22" hidden="1" x14ac:dyDescent="0.2">
      <c r="A258" t="s">
        <v>93</v>
      </c>
      <c r="B258" t="s">
        <v>750</v>
      </c>
      <c r="C258" t="s">
        <v>24</v>
      </c>
      <c r="D258" t="s">
        <v>1202</v>
      </c>
      <c r="E258" t="s">
        <v>395</v>
      </c>
      <c r="F258" t="s">
        <v>110</v>
      </c>
      <c r="G258" t="s">
        <v>28</v>
      </c>
      <c r="H258">
        <v>2</v>
      </c>
      <c r="I258" s="1" t="s">
        <v>1219</v>
      </c>
      <c r="J258" s="1" t="s">
        <v>1280</v>
      </c>
      <c r="K258">
        <v>1092</v>
      </c>
      <c r="L258">
        <v>530</v>
      </c>
      <c r="M258">
        <v>155</v>
      </c>
      <c r="N258">
        <v>101</v>
      </c>
      <c r="O258" s="2" t="s">
        <v>1281</v>
      </c>
      <c r="P258">
        <v>1</v>
      </c>
      <c r="Q258" t="s">
        <v>1282</v>
      </c>
      <c r="R258">
        <v>1</v>
      </c>
      <c r="S258" t="s">
        <v>1283</v>
      </c>
      <c r="T258">
        <v>1</v>
      </c>
      <c r="U258" t="s">
        <v>1284</v>
      </c>
      <c r="V258" t="s">
        <v>1209</v>
      </c>
    </row>
    <row r="259" spans="1:22" hidden="1" x14ac:dyDescent="0.2">
      <c r="A259" t="s">
        <v>93</v>
      </c>
      <c r="B259" t="s">
        <v>750</v>
      </c>
      <c r="C259" t="s">
        <v>24</v>
      </c>
      <c r="D259" t="s">
        <v>1202</v>
      </c>
      <c r="E259" t="s">
        <v>395</v>
      </c>
      <c r="F259" t="s">
        <v>110</v>
      </c>
      <c r="G259" t="s">
        <v>28</v>
      </c>
      <c r="H259">
        <v>3</v>
      </c>
      <c r="I259" s="1" t="s">
        <v>1219</v>
      </c>
      <c r="J259" s="1" t="s">
        <v>1285</v>
      </c>
      <c r="K259">
        <v>1092</v>
      </c>
      <c r="L259">
        <v>530</v>
      </c>
      <c r="M259">
        <v>199</v>
      </c>
      <c r="N259">
        <v>143</v>
      </c>
      <c r="O259" s="2" t="s">
        <v>1286</v>
      </c>
      <c r="P259">
        <v>1</v>
      </c>
      <c r="Q259" t="s">
        <v>1287</v>
      </c>
      <c r="R259">
        <v>1</v>
      </c>
      <c r="S259" t="s">
        <v>1288</v>
      </c>
      <c r="T259">
        <v>1</v>
      </c>
      <c r="U259" t="s">
        <v>179</v>
      </c>
      <c r="V259" t="s">
        <v>1209</v>
      </c>
    </row>
    <row r="260" spans="1:22" hidden="1" x14ac:dyDescent="0.2">
      <c r="A260" t="s">
        <v>93</v>
      </c>
      <c r="B260" t="s">
        <v>750</v>
      </c>
      <c r="C260" t="s">
        <v>24</v>
      </c>
      <c r="D260" t="s">
        <v>1202</v>
      </c>
      <c r="E260" t="s">
        <v>395</v>
      </c>
      <c r="F260" t="s">
        <v>125</v>
      </c>
      <c r="G260" t="s">
        <v>28</v>
      </c>
      <c r="H260">
        <v>1</v>
      </c>
      <c r="I260" s="1" t="s">
        <v>1233</v>
      </c>
      <c r="J260" s="1" t="s">
        <v>1289</v>
      </c>
      <c r="K260">
        <v>1123</v>
      </c>
      <c r="L260">
        <v>552</v>
      </c>
      <c r="M260">
        <v>188</v>
      </c>
      <c r="N260">
        <v>130</v>
      </c>
      <c r="O260" s="2" t="s">
        <v>1290</v>
      </c>
      <c r="P260">
        <v>1</v>
      </c>
      <c r="Q260" t="s">
        <v>1291</v>
      </c>
      <c r="R260">
        <v>1</v>
      </c>
      <c r="S260" t="s">
        <v>1292</v>
      </c>
      <c r="T260">
        <v>1</v>
      </c>
      <c r="U260" t="s">
        <v>1293</v>
      </c>
      <c r="V260" t="s">
        <v>1209</v>
      </c>
    </row>
    <row r="261" spans="1:22" hidden="1" x14ac:dyDescent="0.2">
      <c r="A261" t="s">
        <v>93</v>
      </c>
      <c r="B261" t="s">
        <v>750</v>
      </c>
      <c r="C261" t="s">
        <v>24</v>
      </c>
      <c r="D261" t="s">
        <v>1202</v>
      </c>
      <c r="E261" t="s">
        <v>395</v>
      </c>
      <c r="F261" t="s">
        <v>125</v>
      </c>
      <c r="G261" t="s">
        <v>28</v>
      </c>
      <c r="H261">
        <v>2</v>
      </c>
      <c r="I261" s="1" t="s">
        <v>1233</v>
      </c>
      <c r="J261" s="1" t="s">
        <v>1294</v>
      </c>
      <c r="K261">
        <v>1123</v>
      </c>
      <c r="L261">
        <v>552</v>
      </c>
      <c r="M261">
        <v>169</v>
      </c>
      <c r="N261">
        <v>103</v>
      </c>
      <c r="O261">
        <v>3.2697567939758301</v>
      </c>
      <c r="P261">
        <v>1</v>
      </c>
      <c r="Q261" t="s">
        <v>1295</v>
      </c>
      <c r="R261">
        <v>1</v>
      </c>
      <c r="S261" t="s">
        <v>1296</v>
      </c>
      <c r="T261">
        <v>1</v>
      </c>
      <c r="U261" t="s">
        <v>665</v>
      </c>
      <c r="V261" t="s">
        <v>1209</v>
      </c>
    </row>
    <row r="262" spans="1:22" hidden="1" x14ac:dyDescent="0.2">
      <c r="A262" t="s">
        <v>93</v>
      </c>
      <c r="B262" t="s">
        <v>750</v>
      </c>
      <c r="C262" t="s">
        <v>24</v>
      </c>
      <c r="D262" t="s">
        <v>1202</v>
      </c>
      <c r="E262" t="s">
        <v>395</v>
      </c>
      <c r="F262" t="s">
        <v>125</v>
      </c>
      <c r="G262" t="s">
        <v>28</v>
      </c>
      <c r="H262">
        <v>3</v>
      </c>
      <c r="I262" s="1" t="s">
        <v>1233</v>
      </c>
      <c r="J262" s="1" t="s">
        <v>1297</v>
      </c>
      <c r="K262">
        <v>1123</v>
      </c>
      <c r="L262">
        <v>552</v>
      </c>
      <c r="M262">
        <v>175</v>
      </c>
      <c r="N262">
        <v>113</v>
      </c>
      <c r="O262" s="2" t="s">
        <v>1298</v>
      </c>
      <c r="P262">
        <v>1</v>
      </c>
      <c r="Q262" t="s">
        <v>1299</v>
      </c>
      <c r="R262">
        <v>1</v>
      </c>
      <c r="S262" t="s">
        <v>1300</v>
      </c>
      <c r="T262">
        <v>1</v>
      </c>
      <c r="U262" t="s">
        <v>325</v>
      </c>
      <c r="V262" t="s">
        <v>1209</v>
      </c>
    </row>
    <row r="263" spans="1:22" hidden="1" x14ac:dyDescent="0.2">
      <c r="A263" t="s">
        <v>140</v>
      </c>
      <c r="B263" t="s">
        <v>750</v>
      </c>
      <c r="C263" t="s">
        <v>24</v>
      </c>
      <c r="D263" t="s">
        <v>1202</v>
      </c>
      <c r="E263" t="s">
        <v>395</v>
      </c>
      <c r="F263" t="s">
        <v>141</v>
      </c>
      <c r="G263" t="s">
        <v>28</v>
      </c>
      <c r="H263">
        <v>1</v>
      </c>
      <c r="I263" s="1" t="s">
        <v>1301</v>
      </c>
      <c r="J263" t="s">
        <v>1302</v>
      </c>
      <c r="K263">
        <v>1031</v>
      </c>
      <c r="L263">
        <v>501</v>
      </c>
      <c r="M263">
        <v>484</v>
      </c>
      <c r="N263">
        <v>19</v>
      </c>
      <c r="O263" s="2" t="s">
        <v>1303</v>
      </c>
      <c r="P263">
        <v>1</v>
      </c>
      <c r="Q263" t="s">
        <v>1304</v>
      </c>
      <c r="R263">
        <v>1</v>
      </c>
      <c r="S263" t="s">
        <v>1305</v>
      </c>
      <c r="T263">
        <v>1</v>
      </c>
      <c r="U263" t="s">
        <v>638</v>
      </c>
      <c r="V263" t="s">
        <v>1209</v>
      </c>
    </row>
    <row r="264" spans="1:22" hidden="1" x14ac:dyDescent="0.2">
      <c r="A264" t="s">
        <v>140</v>
      </c>
      <c r="B264" t="s">
        <v>750</v>
      </c>
      <c r="C264" t="s">
        <v>24</v>
      </c>
      <c r="D264" t="s">
        <v>1202</v>
      </c>
      <c r="E264" t="s">
        <v>395</v>
      </c>
      <c r="F264" t="s">
        <v>141</v>
      </c>
      <c r="G264" t="s">
        <v>28</v>
      </c>
      <c r="H264">
        <v>2</v>
      </c>
      <c r="I264" s="1" t="s">
        <v>1301</v>
      </c>
      <c r="J264" t="s">
        <v>1306</v>
      </c>
      <c r="K264">
        <v>1031</v>
      </c>
      <c r="L264">
        <v>501</v>
      </c>
      <c r="M264">
        <v>361</v>
      </c>
      <c r="N264">
        <v>25</v>
      </c>
      <c r="O264" s="2" t="s">
        <v>1307</v>
      </c>
      <c r="P264">
        <v>1</v>
      </c>
      <c r="Q264" t="s">
        <v>1308</v>
      </c>
      <c r="R264">
        <v>1</v>
      </c>
      <c r="S264" t="s">
        <v>1309</v>
      </c>
      <c r="T264">
        <v>1</v>
      </c>
      <c r="U264" t="s">
        <v>1310</v>
      </c>
      <c r="V264" t="s">
        <v>1209</v>
      </c>
    </row>
    <row r="265" spans="1:22" hidden="1" x14ac:dyDescent="0.2">
      <c r="A265" t="s">
        <v>140</v>
      </c>
      <c r="B265" t="s">
        <v>750</v>
      </c>
      <c r="C265" t="s">
        <v>24</v>
      </c>
      <c r="D265" t="s">
        <v>1202</v>
      </c>
      <c r="E265" t="s">
        <v>395</v>
      </c>
      <c r="F265" t="s">
        <v>141</v>
      </c>
      <c r="G265" t="s">
        <v>28</v>
      </c>
      <c r="H265">
        <v>3</v>
      </c>
      <c r="I265" s="1" t="s">
        <v>1301</v>
      </c>
      <c r="J265" s="1" t="s">
        <v>1311</v>
      </c>
      <c r="K265">
        <v>1031</v>
      </c>
      <c r="L265">
        <v>501</v>
      </c>
      <c r="M265">
        <v>355</v>
      </c>
      <c r="N265">
        <v>19</v>
      </c>
      <c r="O265" s="2" t="s">
        <v>1312</v>
      </c>
      <c r="P265">
        <v>1</v>
      </c>
      <c r="Q265" t="s">
        <v>1313</v>
      </c>
      <c r="R265">
        <v>1</v>
      </c>
      <c r="S265" t="s">
        <v>1314</v>
      </c>
      <c r="T265">
        <v>0</v>
      </c>
      <c r="U265" t="s">
        <v>1315</v>
      </c>
      <c r="V265" t="s">
        <v>1209</v>
      </c>
    </row>
    <row r="266" spans="1:22" hidden="1" x14ac:dyDescent="0.2">
      <c r="A266" t="s">
        <v>22</v>
      </c>
      <c r="B266" t="s">
        <v>750</v>
      </c>
      <c r="C266" t="s">
        <v>24</v>
      </c>
      <c r="D266" t="s">
        <v>1316</v>
      </c>
      <c r="E266" t="s">
        <v>395</v>
      </c>
      <c r="F266" t="s">
        <v>27</v>
      </c>
      <c r="G266" t="s">
        <v>28</v>
      </c>
      <c r="H266">
        <v>1</v>
      </c>
      <c r="I266" s="1" t="s">
        <v>1317</v>
      </c>
      <c r="J266" s="1" t="s">
        <v>1318</v>
      </c>
      <c r="K266">
        <v>1143</v>
      </c>
      <c r="L266">
        <v>485</v>
      </c>
      <c r="M266">
        <v>135</v>
      </c>
      <c r="N266">
        <v>81</v>
      </c>
      <c r="O266" s="2" t="s">
        <v>1319</v>
      </c>
      <c r="P266">
        <v>1</v>
      </c>
      <c r="Q266" t="s">
        <v>1320</v>
      </c>
      <c r="R266">
        <v>1</v>
      </c>
      <c r="S266" t="s">
        <v>1321</v>
      </c>
      <c r="T266">
        <v>1</v>
      </c>
      <c r="U266" t="s">
        <v>1322</v>
      </c>
      <c r="V266" t="s">
        <v>1323</v>
      </c>
    </row>
    <row r="267" spans="1:22" hidden="1" x14ac:dyDescent="0.2">
      <c r="A267" t="s">
        <v>22</v>
      </c>
      <c r="B267" t="s">
        <v>750</v>
      </c>
      <c r="C267" t="s">
        <v>24</v>
      </c>
      <c r="D267" t="s">
        <v>1316</v>
      </c>
      <c r="E267" t="s">
        <v>395</v>
      </c>
      <c r="F267" t="s">
        <v>27</v>
      </c>
      <c r="G267" t="s">
        <v>28</v>
      </c>
      <c r="H267">
        <v>2</v>
      </c>
      <c r="I267" s="1" t="s">
        <v>1317</v>
      </c>
      <c r="J267" s="1" t="s">
        <v>1324</v>
      </c>
      <c r="K267">
        <v>1143</v>
      </c>
      <c r="L267">
        <v>485</v>
      </c>
      <c r="M267">
        <v>130</v>
      </c>
      <c r="N267">
        <v>78</v>
      </c>
      <c r="O267" s="2" t="s">
        <v>1325</v>
      </c>
      <c r="P267">
        <v>1</v>
      </c>
      <c r="Q267" t="s">
        <v>1326</v>
      </c>
      <c r="R267">
        <v>1</v>
      </c>
      <c r="S267" t="s">
        <v>1327</v>
      </c>
      <c r="T267">
        <v>1</v>
      </c>
      <c r="U267" t="s">
        <v>1328</v>
      </c>
      <c r="V267" t="s">
        <v>1323</v>
      </c>
    </row>
    <row r="268" spans="1:22" hidden="1" x14ac:dyDescent="0.2">
      <c r="A268" t="s">
        <v>22</v>
      </c>
      <c r="B268" t="s">
        <v>750</v>
      </c>
      <c r="C268" t="s">
        <v>24</v>
      </c>
      <c r="D268" t="s">
        <v>1316</v>
      </c>
      <c r="E268" t="s">
        <v>395</v>
      </c>
      <c r="F268" t="s">
        <v>27</v>
      </c>
      <c r="G268" t="s">
        <v>28</v>
      </c>
      <c r="H268">
        <v>3</v>
      </c>
      <c r="I268" s="1" t="s">
        <v>1317</v>
      </c>
      <c r="J268" s="1" t="s">
        <v>1329</v>
      </c>
      <c r="K268">
        <v>1143</v>
      </c>
      <c r="L268">
        <v>485</v>
      </c>
      <c r="M268">
        <v>138</v>
      </c>
      <c r="N268">
        <v>86</v>
      </c>
      <c r="O268" s="2" t="s">
        <v>1330</v>
      </c>
      <c r="P268">
        <v>1</v>
      </c>
      <c r="Q268" t="s">
        <v>1331</v>
      </c>
      <c r="R268">
        <v>1</v>
      </c>
      <c r="S268" t="s">
        <v>1332</v>
      </c>
      <c r="T268">
        <v>1</v>
      </c>
      <c r="U268" t="s">
        <v>1333</v>
      </c>
      <c r="V268" t="s">
        <v>1323</v>
      </c>
    </row>
    <row r="269" spans="1:22" hidden="1" x14ac:dyDescent="0.2">
      <c r="A269" t="s">
        <v>22</v>
      </c>
      <c r="B269" t="s">
        <v>750</v>
      </c>
      <c r="C269" t="s">
        <v>24</v>
      </c>
      <c r="D269" t="s">
        <v>1316</v>
      </c>
      <c r="E269" t="s">
        <v>395</v>
      </c>
      <c r="F269" t="s">
        <v>46</v>
      </c>
      <c r="G269" t="s">
        <v>28</v>
      </c>
      <c r="H269">
        <v>1</v>
      </c>
      <c r="I269" s="1" t="s">
        <v>1334</v>
      </c>
      <c r="J269" s="1" t="s">
        <v>1335</v>
      </c>
      <c r="K269">
        <v>1171</v>
      </c>
      <c r="L269">
        <v>499</v>
      </c>
      <c r="M269">
        <v>194</v>
      </c>
      <c r="N269">
        <v>116</v>
      </c>
      <c r="O269" s="2" t="s">
        <v>1336</v>
      </c>
      <c r="P269">
        <v>1</v>
      </c>
      <c r="Q269" t="s">
        <v>1337</v>
      </c>
      <c r="R269">
        <v>1</v>
      </c>
      <c r="S269" t="s">
        <v>1338</v>
      </c>
      <c r="T269">
        <v>1</v>
      </c>
      <c r="U269" t="s">
        <v>1339</v>
      </c>
      <c r="V269" t="s">
        <v>1323</v>
      </c>
    </row>
    <row r="270" spans="1:22" hidden="1" x14ac:dyDescent="0.2">
      <c r="A270" t="s">
        <v>22</v>
      </c>
      <c r="B270" t="s">
        <v>750</v>
      </c>
      <c r="C270" t="s">
        <v>24</v>
      </c>
      <c r="D270" t="s">
        <v>1316</v>
      </c>
      <c r="E270" t="s">
        <v>395</v>
      </c>
      <c r="F270" t="s">
        <v>46</v>
      </c>
      <c r="G270" t="s">
        <v>28</v>
      </c>
      <c r="H270">
        <v>2</v>
      </c>
      <c r="I270" s="1" t="s">
        <v>1334</v>
      </c>
      <c r="J270" s="1" t="s">
        <v>1340</v>
      </c>
      <c r="K270">
        <v>1171</v>
      </c>
      <c r="L270">
        <v>499</v>
      </c>
      <c r="M270">
        <v>214</v>
      </c>
      <c r="N270">
        <v>127</v>
      </c>
      <c r="O270" s="2" t="s">
        <v>1341</v>
      </c>
      <c r="P270">
        <v>1</v>
      </c>
      <c r="Q270" t="s">
        <v>1342</v>
      </c>
      <c r="R270">
        <v>1</v>
      </c>
      <c r="S270" t="s">
        <v>1343</v>
      </c>
      <c r="T270">
        <v>1</v>
      </c>
      <c r="U270" t="s">
        <v>1344</v>
      </c>
      <c r="V270" t="s">
        <v>1323</v>
      </c>
    </row>
    <row r="271" spans="1:22" hidden="1" x14ac:dyDescent="0.2">
      <c r="A271" t="s">
        <v>22</v>
      </c>
      <c r="B271" t="s">
        <v>750</v>
      </c>
      <c r="C271" t="s">
        <v>24</v>
      </c>
      <c r="D271" t="s">
        <v>1316</v>
      </c>
      <c r="E271" t="s">
        <v>395</v>
      </c>
      <c r="F271" t="s">
        <v>46</v>
      </c>
      <c r="G271" t="s">
        <v>28</v>
      </c>
      <c r="H271">
        <v>3</v>
      </c>
      <c r="I271" s="1" t="s">
        <v>1334</v>
      </c>
      <c r="J271" s="1" t="s">
        <v>1345</v>
      </c>
      <c r="K271">
        <v>1171</v>
      </c>
      <c r="L271">
        <v>499</v>
      </c>
      <c r="M271">
        <v>195</v>
      </c>
      <c r="N271">
        <v>117</v>
      </c>
      <c r="O271">
        <v>4.7102820873260498</v>
      </c>
      <c r="P271">
        <v>1</v>
      </c>
      <c r="Q271" t="s">
        <v>1346</v>
      </c>
      <c r="R271">
        <v>1</v>
      </c>
      <c r="S271" t="s">
        <v>1347</v>
      </c>
      <c r="T271">
        <v>1</v>
      </c>
      <c r="U271" t="s">
        <v>1348</v>
      </c>
      <c r="V271" t="s">
        <v>1323</v>
      </c>
    </row>
    <row r="272" spans="1:22" hidden="1" x14ac:dyDescent="0.2">
      <c r="A272" t="s">
        <v>22</v>
      </c>
      <c r="B272" t="s">
        <v>750</v>
      </c>
      <c r="C272" t="s">
        <v>24</v>
      </c>
      <c r="D272" t="s">
        <v>1316</v>
      </c>
      <c r="E272" t="s">
        <v>395</v>
      </c>
      <c r="F272" t="s">
        <v>61</v>
      </c>
      <c r="G272" t="s">
        <v>28</v>
      </c>
      <c r="H272">
        <v>1</v>
      </c>
      <c r="I272" s="1" t="s">
        <v>1349</v>
      </c>
      <c r="J272" s="1" t="s">
        <v>1350</v>
      </c>
      <c r="K272">
        <v>1206</v>
      </c>
      <c r="L272">
        <v>521</v>
      </c>
      <c r="M272">
        <v>195</v>
      </c>
      <c r="N272">
        <v>107</v>
      </c>
      <c r="O272" s="2" t="s">
        <v>1351</v>
      </c>
      <c r="P272">
        <v>1</v>
      </c>
      <c r="Q272" t="s">
        <v>1352</v>
      </c>
      <c r="R272">
        <v>1</v>
      </c>
      <c r="S272" t="s">
        <v>1353</v>
      </c>
      <c r="T272">
        <v>1</v>
      </c>
      <c r="U272" t="s">
        <v>1354</v>
      </c>
      <c r="V272" t="s">
        <v>1323</v>
      </c>
    </row>
    <row r="273" spans="1:22" hidden="1" x14ac:dyDescent="0.2">
      <c r="A273" t="s">
        <v>22</v>
      </c>
      <c r="B273" t="s">
        <v>750</v>
      </c>
      <c r="C273" t="s">
        <v>24</v>
      </c>
      <c r="D273" t="s">
        <v>1316</v>
      </c>
      <c r="E273" t="s">
        <v>395</v>
      </c>
      <c r="F273" t="s">
        <v>61</v>
      </c>
      <c r="G273" t="s">
        <v>28</v>
      </c>
      <c r="H273">
        <v>2</v>
      </c>
      <c r="I273" s="1" t="s">
        <v>1349</v>
      </c>
      <c r="J273" s="1" t="s">
        <v>1355</v>
      </c>
      <c r="K273">
        <v>1206</v>
      </c>
      <c r="L273">
        <v>521</v>
      </c>
      <c r="M273">
        <v>187</v>
      </c>
      <c r="N273">
        <v>109</v>
      </c>
      <c r="O273" s="2" t="s">
        <v>1356</v>
      </c>
      <c r="P273">
        <v>1</v>
      </c>
      <c r="Q273" t="s">
        <v>1357</v>
      </c>
      <c r="R273">
        <v>1</v>
      </c>
      <c r="S273" t="s">
        <v>1358</v>
      </c>
      <c r="T273">
        <v>1</v>
      </c>
      <c r="U273" t="s">
        <v>1359</v>
      </c>
      <c r="V273" t="s">
        <v>1323</v>
      </c>
    </row>
    <row r="274" spans="1:22" hidden="1" x14ac:dyDescent="0.2">
      <c r="A274" t="s">
        <v>22</v>
      </c>
      <c r="B274" t="s">
        <v>750</v>
      </c>
      <c r="C274" t="s">
        <v>24</v>
      </c>
      <c r="D274" t="s">
        <v>1316</v>
      </c>
      <c r="E274" t="s">
        <v>395</v>
      </c>
      <c r="F274" t="s">
        <v>61</v>
      </c>
      <c r="G274" t="s">
        <v>28</v>
      </c>
      <c r="H274">
        <v>3</v>
      </c>
      <c r="I274" s="1" t="s">
        <v>1349</v>
      </c>
      <c r="J274" s="1" t="s">
        <v>1360</v>
      </c>
      <c r="K274">
        <v>1206</v>
      </c>
      <c r="L274">
        <v>521</v>
      </c>
      <c r="M274">
        <v>202</v>
      </c>
      <c r="N274">
        <v>118</v>
      </c>
      <c r="O274" s="2" t="s">
        <v>1361</v>
      </c>
      <c r="P274">
        <v>1</v>
      </c>
      <c r="Q274" t="s">
        <v>1362</v>
      </c>
      <c r="R274">
        <v>1</v>
      </c>
      <c r="S274" t="s">
        <v>1363</v>
      </c>
      <c r="T274">
        <v>1</v>
      </c>
      <c r="U274" t="s">
        <v>1364</v>
      </c>
      <c r="V274" t="s">
        <v>1323</v>
      </c>
    </row>
    <row r="275" spans="1:22" hidden="1" x14ac:dyDescent="0.2">
      <c r="A275" t="s">
        <v>76</v>
      </c>
      <c r="B275" t="s">
        <v>750</v>
      </c>
      <c r="C275" t="s">
        <v>24</v>
      </c>
      <c r="D275" t="s">
        <v>1316</v>
      </c>
      <c r="E275" t="s">
        <v>395</v>
      </c>
      <c r="F275" t="s">
        <v>77</v>
      </c>
      <c r="G275" t="s">
        <v>28</v>
      </c>
      <c r="H275">
        <v>1</v>
      </c>
      <c r="I275" s="1" t="s">
        <v>1349</v>
      </c>
      <c r="J275" s="1" t="s">
        <v>1365</v>
      </c>
      <c r="K275">
        <v>1072</v>
      </c>
      <c r="L275">
        <v>521</v>
      </c>
      <c r="M275">
        <v>177</v>
      </c>
      <c r="N275">
        <v>113</v>
      </c>
      <c r="O275" s="2" t="s">
        <v>1366</v>
      </c>
      <c r="P275">
        <v>1</v>
      </c>
      <c r="Q275" t="s">
        <v>1367</v>
      </c>
      <c r="R275">
        <v>1</v>
      </c>
      <c r="S275" t="s">
        <v>1368</v>
      </c>
      <c r="T275">
        <v>1</v>
      </c>
      <c r="U275" t="s">
        <v>1369</v>
      </c>
      <c r="V275" t="s">
        <v>1323</v>
      </c>
    </row>
    <row r="276" spans="1:22" hidden="1" x14ac:dyDescent="0.2">
      <c r="A276" t="s">
        <v>76</v>
      </c>
      <c r="B276" t="s">
        <v>750</v>
      </c>
      <c r="C276" t="s">
        <v>24</v>
      </c>
      <c r="D276" t="s">
        <v>1316</v>
      </c>
      <c r="E276" t="s">
        <v>395</v>
      </c>
      <c r="F276" t="s">
        <v>77</v>
      </c>
      <c r="G276" t="s">
        <v>28</v>
      </c>
      <c r="H276">
        <v>2</v>
      </c>
      <c r="I276" s="1" t="s">
        <v>1349</v>
      </c>
      <c r="J276" s="1" t="s">
        <v>1370</v>
      </c>
      <c r="K276">
        <v>1072</v>
      </c>
      <c r="L276">
        <v>521</v>
      </c>
      <c r="M276">
        <v>163</v>
      </c>
      <c r="N276">
        <v>100</v>
      </c>
      <c r="O276" s="2" t="s">
        <v>1371</v>
      </c>
      <c r="P276">
        <v>1</v>
      </c>
      <c r="Q276" t="s">
        <v>1372</v>
      </c>
      <c r="R276">
        <v>1</v>
      </c>
      <c r="S276" t="s">
        <v>1373</v>
      </c>
      <c r="T276">
        <v>1</v>
      </c>
      <c r="U276" t="s">
        <v>449</v>
      </c>
      <c r="V276" t="s">
        <v>1323</v>
      </c>
    </row>
    <row r="277" spans="1:22" hidden="1" x14ac:dyDescent="0.2">
      <c r="A277" t="s">
        <v>76</v>
      </c>
      <c r="B277" t="s">
        <v>750</v>
      </c>
      <c r="C277" t="s">
        <v>24</v>
      </c>
      <c r="D277" t="s">
        <v>1316</v>
      </c>
      <c r="E277" t="s">
        <v>395</v>
      </c>
      <c r="F277" t="s">
        <v>77</v>
      </c>
      <c r="G277" t="s">
        <v>28</v>
      </c>
      <c r="H277">
        <v>3</v>
      </c>
      <c r="I277" s="1" t="s">
        <v>1349</v>
      </c>
      <c r="J277" s="1" t="s">
        <v>1374</v>
      </c>
      <c r="K277">
        <v>1072</v>
      </c>
      <c r="L277">
        <v>521</v>
      </c>
      <c r="M277">
        <v>158</v>
      </c>
      <c r="N277">
        <v>98</v>
      </c>
      <c r="O277" s="2" t="s">
        <v>1375</v>
      </c>
      <c r="P277">
        <v>1</v>
      </c>
      <c r="Q277" t="s">
        <v>1376</v>
      </c>
      <c r="R277">
        <v>1</v>
      </c>
      <c r="S277" t="s">
        <v>1377</v>
      </c>
      <c r="T277">
        <v>1</v>
      </c>
      <c r="U277" t="s">
        <v>1378</v>
      </c>
      <c r="V277" t="s">
        <v>1323</v>
      </c>
    </row>
    <row r="278" spans="1:22" hidden="1" x14ac:dyDescent="0.2">
      <c r="A278" t="s">
        <v>93</v>
      </c>
      <c r="B278" t="s">
        <v>750</v>
      </c>
      <c r="C278" t="s">
        <v>24</v>
      </c>
      <c r="D278" t="s">
        <v>1316</v>
      </c>
      <c r="E278" t="s">
        <v>395</v>
      </c>
      <c r="F278" t="s">
        <v>94</v>
      </c>
      <c r="G278" t="s">
        <v>28</v>
      </c>
      <c r="H278">
        <v>1</v>
      </c>
      <c r="I278" s="1" t="s">
        <v>1317</v>
      </c>
      <c r="J278" s="1" t="s">
        <v>1379</v>
      </c>
      <c r="K278">
        <v>1016</v>
      </c>
      <c r="L278">
        <v>485</v>
      </c>
      <c r="M278">
        <v>102</v>
      </c>
      <c r="N278">
        <v>65</v>
      </c>
      <c r="O278" s="2" t="s">
        <v>1380</v>
      </c>
      <c r="P278">
        <v>1</v>
      </c>
      <c r="Q278" t="s">
        <v>1381</v>
      </c>
      <c r="R278">
        <v>1</v>
      </c>
      <c r="S278" t="s">
        <v>1382</v>
      </c>
      <c r="T278">
        <v>1</v>
      </c>
      <c r="U278" t="s">
        <v>1383</v>
      </c>
      <c r="V278" t="s">
        <v>1323</v>
      </c>
    </row>
    <row r="279" spans="1:22" hidden="1" x14ac:dyDescent="0.2">
      <c r="A279" t="s">
        <v>93</v>
      </c>
      <c r="B279" t="s">
        <v>750</v>
      </c>
      <c r="C279" t="s">
        <v>24</v>
      </c>
      <c r="D279" t="s">
        <v>1316</v>
      </c>
      <c r="E279" t="s">
        <v>395</v>
      </c>
      <c r="F279" t="s">
        <v>94</v>
      </c>
      <c r="G279" t="s">
        <v>28</v>
      </c>
      <c r="H279">
        <v>2</v>
      </c>
      <c r="I279" s="1" t="s">
        <v>1317</v>
      </c>
      <c r="J279" s="1" t="s">
        <v>1384</v>
      </c>
      <c r="K279">
        <v>1016</v>
      </c>
      <c r="L279">
        <v>485</v>
      </c>
      <c r="M279">
        <v>113</v>
      </c>
      <c r="N279">
        <v>75</v>
      </c>
      <c r="O279" s="2" t="s">
        <v>1385</v>
      </c>
      <c r="P279">
        <v>1</v>
      </c>
      <c r="Q279" t="s">
        <v>1386</v>
      </c>
      <c r="R279">
        <v>1</v>
      </c>
      <c r="S279" t="s">
        <v>1387</v>
      </c>
      <c r="T279">
        <v>1</v>
      </c>
      <c r="U279" t="s">
        <v>1388</v>
      </c>
      <c r="V279" t="s">
        <v>1323</v>
      </c>
    </row>
    <row r="280" spans="1:22" hidden="1" x14ac:dyDescent="0.2">
      <c r="A280" t="s">
        <v>93</v>
      </c>
      <c r="B280" t="s">
        <v>750</v>
      </c>
      <c r="C280" t="s">
        <v>24</v>
      </c>
      <c r="D280" t="s">
        <v>1316</v>
      </c>
      <c r="E280" t="s">
        <v>395</v>
      </c>
      <c r="F280" t="s">
        <v>94</v>
      </c>
      <c r="G280" t="s">
        <v>28</v>
      </c>
      <c r="H280">
        <v>3</v>
      </c>
      <c r="I280" s="1" t="s">
        <v>1317</v>
      </c>
      <c r="J280" s="1" t="s">
        <v>1389</v>
      </c>
      <c r="K280">
        <v>1016</v>
      </c>
      <c r="L280">
        <v>485</v>
      </c>
      <c r="M280">
        <v>101</v>
      </c>
      <c r="N280">
        <v>60</v>
      </c>
      <c r="O280" s="2" t="s">
        <v>1390</v>
      </c>
      <c r="P280">
        <v>1</v>
      </c>
      <c r="Q280" t="s">
        <v>1391</v>
      </c>
      <c r="R280">
        <v>1</v>
      </c>
      <c r="S280" t="s">
        <v>1392</v>
      </c>
      <c r="T280">
        <v>1</v>
      </c>
      <c r="U280" t="s">
        <v>1393</v>
      </c>
      <c r="V280" t="s">
        <v>1323</v>
      </c>
    </row>
    <row r="281" spans="1:22" hidden="1" x14ac:dyDescent="0.2">
      <c r="A281" t="s">
        <v>93</v>
      </c>
      <c r="B281" t="s">
        <v>750</v>
      </c>
      <c r="C281" t="s">
        <v>24</v>
      </c>
      <c r="D281" t="s">
        <v>1316</v>
      </c>
      <c r="E281" t="s">
        <v>395</v>
      </c>
      <c r="F281" t="s">
        <v>110</v>
      </c>
      <c r="G281" t="s">
        <v>28</v>
      </c>
      <c r="H281">
        <v>1</v>
      </c>
      <c r="I281" s="1" t="s">
        <v>1334</v>
      </c>
      <c r="J281" s="1" t="s">
        <v>1394</v>
      </c>
      <c r="K281">
        <v>1041</v>
      </c>
      <c r="L281">
        <v>499</v>
      </c>
      <c r="M281">
        <v>198</v>
      </c>
      <c r="N281">
        <v>138</v>
      </c>
      <c r="O281" s="2" t="s">
        <v>1395</v>
      </c>
      <c r="P281">
        <v>1</v>
      </c>
      <c r="Q281" t="s">
        <v>1396</v>
      </c>
      <c r="R281">
        <v>1</v>
      </c>
      <c r="S281" t="s">
        <v>1397</v>
      </c>
      <c r="T281">
        <v>1</v>
      </c>
      <c r="U281" t="s">
        <v>1398</v>
      </c>
      <c r="V281" t="s">
        <v>1323</v>
      </c>
    </row>
    <row r="282" spans="1:22" hidden="1" x14ac:dyDescent="0.2">
      <c r="A282" t="s">
        <v>93</v>
      </c>
      <c r="B282" t="s">
        <v>750</v>
      </c>
      <c r="C282" t="s">
        <v>24</v>
      </c>
      <c r="D282" t="s">
        <v>1316</v>
      </c>
      <c r="E282" t="s">
        <v>395</v>
      </c>
      <c r="F282" t="s">
        <v>110</v>
      </c>
      <c r="G282" t="s">
        <v>28</v>
      </c>
      <c r="H282">
        <v>2</v>
      </c>
      <c r="I282" s="1" t="s">
        <v>1334</v>
      </c>
      <c r="J282" s="1" t="s">
        <v>1399</v>
      </c>
      <c r="K282">
        <v>1041</v>
      </c>
      <c r="L282">
        <v>499</v>
      </c>
      <c r="M282">
        <v>177</v>
      </c>
      <c r="N282">
        <v>118</v>
      </c>
      <c r="O282" s="2" t="s">
        <v>1400</v>
      </c>
      <c r="P282">
        <v>1</v>
      </c>
      <c r="Q282" t="s">
        <v>1401</v>
      </c>
      <c r="R282">
        <v>1</v>
      </c>
      <c r="S282" t="s">
        <v>1402</v>
      </c>
      <c r="T282">
        <v>1</v>
      </c>
      <c r="U282" t="s">
        <v>1403</v>
      </c>
      <c r="V282" t="s">
        <v>1323</v>
      </c>
    </row>
    <row r="283" spans="1:22" hidden="1" x14ac:dyDescent="0.2">
      <c r="A283" t="s">
        <v>93</v>
      </c>
      <c r="B283" t="s">
        <v>750</v>
      </c>
      <c r="C283" t="s">
        <v>24</v>
      </c>
      <c r="D283" t="s">
        <v>1316</v>
      </c>
      <c r="E283" t="s">
        <v>395</v>
      </c>
      <c r="F283" t="s">
        <v>110</v>
      </c>
      <c r="G283" t="s">
        <v>28</v>
      </c>
      <c r="H283">
        <v>3</v>
      </c>
      <c r="I283" s="1" t="s">
        <v>1334</v>
      </c>
      <c r="J283" s="1" t="s">
        <v>1404</v>
      </c>
      <c r="K283">
        <v>1041</v>
      </c>
      <c r="L283">
        <v>499</v>
      </c>
      <c r="M283">
        <v>179</v>
      </c>
      <c r="N283">
        <v>126</v>
      </c>
      <c r="O283" s="2" t="s">
        <v>1405</v>
      </c>
      <c r="P283">
        <v>1</v>
      </c>
      <c r="Q283" t="s">
        <v>1406</v>
      </c>
      <c r="R283">
        <v>1</v>
      </c>
      <c r="S283" t="s">
        <v>1407</v>
      </c>
      <c r="T283">
        <v>1</v>
      </c>
      <c r="U283" t="s">
        <v>1408</v>
      </c>
      <c r="V283" t="s">
        <v>1323</v>
      </c>
    </row>
    <row r="284" spans="1:22" hidden="1" x14ac:dyDescent="0.2">
      <c r="A284" t="s">
        <v>93</v>
      </c>
      <c r="B284" t="s">
        <v>750</v>
      </c>
      <c r="C284" t="s">
        <v>24</v>
      </c>
      <c r="D284" t="s">
        <v>1316</v>
      </c>
      <c r="E284" t="s">
        <v>395</v>
      </c>
      <c r="F284" t="s">
        <v>125</v>
      </c>
      <c r="G284" t="s">
        <v>28</v>
      </c>
      <c r="H284">
        <v>1</v>
      </c>
      <c r="I284" s="1" t="s">
        <v>1349</v>
      </c>
      <c r="J284" s="1" t="s">
        <v>1409</v>
      </c>
      <c r="K284">
        <v>1072</v>
      </c>
      <c r="L284">
        <v>521</v>
      </c>
      <c r="M284">
        <v>174</v>
      </c>
      <c r="N284">
        <v>116</v>
      </c>
      <c r="O284" s="2" t="s">
        <v>1410</v>
      </c>
      <c r="P284">
        <v>1</v>
      </c>
      <c r="Q284" t="s">
        <v>1411</v>
      </c>
      <c r="R284">
        <v>1</v>
      </c>
      <c r="S284" t="s">
        <v>1412</v>
      </c>
      <c r="T284">
        <v>1</v>
      </c>
      <c r="U284" t="s">
        <v>1413</v>
      </c>
      <c r="V284" t="s">
        <v>1323</v>
      </c>
    </row>
    <row r="285" spans="1:22" hidden="1" x14ac:dyDescent="0.2">
      <c r="A285" t="s">
        <v>93</v>
      </c>
      <c r="B285" t="s">
        <v>750</v>
      </c>
      <c r="C285" t="s">
        <v>24</v>
      </c>
      <c r="D285" t="s">
        <v>1316</v>
      </c>
      <c r="E285" t="s">
        <v>395</v>
      </c>
      <c r="F285" t="s">
        <v>125</v>
      </c>
      <c r="G285" t="s">
        <v>28</v>
      </c>
      <c r="H285">
        <v>2</v>
      </c>
      <c r="I285" s="1" t="s">
        <v>1349</v>
      </c>
      <c r="J285" s="1" t="s">
        <v>1414</v>
      </c>
      <c r="K285">
        <v>1072</v>
      </c>
      <c r="L285">
        <v>521</v>
      </c>
      <c r="M285">
        <v>166</v>
      </c>
      <c r="N285">
        <v>106</v>
      </c>
      <c r="O285" s="2" t="s">
        <v>1415</v>
      </c>
      <c r="P285">
        <v>1</v>
      </c>
      <c r="Q285" t="s">
        <v>1416</v>
      </c>
      <c r="R285">
        <v>1</v>
      </c>
      <c r="S285" t="s">
        <v>1417</v>
      </c>
      <c r="T285">
        <v>1</v>
      </c>
      <c r="U285" t="s">
        <v>665</v>
      </c>
      <c r="V285" t="s">
        <v>1323</v>
      </c>
    </row>
    <row r="286" spans="1:22" hidden="1" x14ac:dyDescent="0.2">
      <c r="A286" t="s">
        <v>93</v>
      </c>
      <c r="B286" t="s">
        <v>750</v>
      </c>
      <c r="C286" t="s">
        <v>24</v>
      </c>
      <c r="D286" t="s">
        <v>1316</v>
      </c>
      <c r="E286" t="s">
        <v>395</v>
      </c>
      <c r="F286" t="s">
        <v>125</v>
      </c>
      <c r="G286" t="s">
        <v>28</v>
      </c>
      <c r="H286">
        <v>3</v>
      </c>
      <c r="I286" s="1" t="s">
        <v>1349</v>
      </c>
      <c r="J286" s="1" t="s">
        <v>1418</v>
      </c>
      <c r="K286">
        <v>1072</v>
      </c>
      <c r="L286">
        <v>521</v>
      </c>
      <c r="M286">
        <v>182</v>
      </c>
      <c r="N286">
        <v>120</v>
      </c>
      <c r="O286" s="2" t="s">
        <v>1419</v>
      </c>
      <c r="P286">
        <v>1</v>
      </c>
      <c r="Q286" t="s">
        <v>1420</v>
      </c>
      <c r="R286">
        <v>1</v>
      </c>
      <c r="S286" t="s">
        <v>1421</v>
      </c>
      <c r="T286">
        <v>1</v>
      </c>
      <c r="U286" t="s">
        <v>1422</v>
      </c>
      <c r="V286" t="s">
        <v>1323</v>
      </c>
    </row>
    <row r="287" spans="1:22" hidden="1" x14ac:dyDescent="0.2">
      <c r="A287" t="s">
        <v>140</v>
      </c>
      <c r="B287" t="s">
        <v>750</v>
      </c>
      <c r="C287" t="s">
        <v>24</v>
      </c>
      <c r="D287" t="s">
        <v>1316</v>
      </c>
      <c r="E287" t="s">
        <v>395</v>
      </c>
      <c r="F287" t="s">
        <v>141</v>
      </c>
      <c r="G287" t="s">
        <v>28</v>
      </c>
      <c r="H287">
        <v>1</v>
      </c>
      <c r="I287" s="1" t="s">
        <v>1423</v>
      </c>
      <c r="J287" t="s">
        <v>1424</v>
      </c>
      <c r="K287">
        <v>980</v>
      </c>
      <c r="L287">
        <v>470</v>
      </c>
      <c r="M287">
        <v>482</v>
      </c>
      <c r="N287">
        <v>15</v>
      </c>
      <c r="O287" s="2" t="s">
        <v>1425</v>
      </c>
      <c r="P287">
        <v>1</v>
      </c>
      <c r="Q287" t="s">
        <v>1426</v>
      </c>
      <c r="R287">
        <v>1</v>
      </c>
      <c r="S287" t="s">
        <v>1427</v>
      </c>
      <c r="T287">
        <v>1</v>
      </c>
      <c r="U287" t="s">
        <v>1428</v>
      </c>
      <c r="V287" t="s">
        <v>1323</v>
      </c>
    </row>
    <row r="288" spans="1:22" hidden="1" x14ac:dyDescent="0.2">
      <c r="A288" t="s">
        <v>140</v>
      </c>
      <c r="B288" t="s">
        <v>750</v>
      </c>
      <c r="C288" t="s">
        <v>24</v>
      </c>
      <c r="D288" t="s">
        <v>1316</v>
      </c>
      <c r="E288" t="s">
        <v>395</v>
      </c>
      <c r="F288" t="s">
        <v>141</v>
      </c>
      <c r="G288" t="s">
        <v>28</v>
      </c>
      <c r="H288">
        <v>2</v>
      </c>
      <c r="I288" s="1" t="s">
        <v>1423</v>
      </c>
      <c r="J288" s="1" t="s">
        <v>1429</v>
      </c>
      <c r="K288">
        <v>980</v>
      </c>
      <c r="L288">
        <v>470</v>
      </c>
      <c r="M288">
        <v>617</v>
      </c>
      <c r="N288">
        <v>24</v>
      </c>
      <c r="O288">
        <v>6.7277858257293701</v>
      </c>
      <c r="P288">
        <v>1</v>
      </c>
      <c r="Q288" t="s">
        <v>1430</v>
      </c>
      <c r="R288">
        <v>1</v>
      </c>
      <c r="S288" t="s">
        <v>1431</v>
      </c>
      <c r="T288">
        <v>1</v>
      </c>
      <c r="U288" t="s">
        <v>1432</v>
      </c>
      <c r="V288" t="s">
        <v>1323</v>
      </c>
    </row>
    <row r="289" spans="1:22" hidden="1" x14ac:dyDescent="0.2">
      <c r="A289" t="s">
        <v>140</v>
      </c>
      <c r="B289" t="s">
        <v>750</v>
      </c>
      <c r="C289" t="s">
        <v>24</v>
      </c>
      <c r="D289" t="s">
        <v>1316</v>
      </c>
      <c r="E289" t="s">
        <v>395</v>
      </c>
      <c r="F289" t="s">
        <v>141</v>
      </c>
      <c r="G289" t="s">
        <v>28</v>
      </c>
      <c r="H289">
        <v>3</v>
      </c>
      <c r="I289" s="1" t="s">
        <v>1423</v>
      </c>
      <c r="J289" t="s">
        <v>1433</v>
      </c>
      <c r="K289">
        <v>980</v>
      </c>
      <c r="L289">
        <v>470</v>
      </c>
      <c r="M289">
        <v>427</v>
      </c>
      <c r="N289">
        <v>22</v>
      </c>
      <c r="O289" s="2" t="s">
        <v>1434</v>
      </c>
      <c r="P289">
        <v>1</v>
      </c>
      <c r="Q289" t="s">
        <v>1435</v>
      </c>
      <c r="R289">
        <v>1</v>
      </c>
      <c r="S289" t="s">
        <v>1436</v>
      </c>
      <c r="T289">
        <v>1</v>
      </c>
      <c r="U289" t="s">
        <v>1437</v>
      </c>
      <c r="V289" t="s">
        <v>1323</v>
      </c>
    </row>
    <row r="290" spans="1:22" hidden="1" x14ac:dyDescent="0.2">
      <c r="A290" t="s">
        <v>22</v>
      </c>
      <c r="B290" t="s">
        <v>1438</v>
      </c>
      <c r="C290" t="s">
        <v>24</v>
      </c>
      <c r="D290" t="s">
        <v>1439</v>
      </c>
      <c r="E290" t="s">
        <v>26</v>
      </c>
      <c r="F290" t="s">
        <v>27</v>
      </c>
      <c r="G290" t="s">
        <v>28</v>
      </c>
      <c r="H290">
        <v>1</v>
      </c>
      <c r="I290" s="1" t="s">
        <v>1440</v>
      </c>
      <c r="J290" s="1" t="s">
        <v>1441</v>
      </c>
      <c r="K290">
        <v>1132</v>
      </c>
      <c r="L290">
        <v>564</v>
      </c>
      <c r="M290">
        <v>126</v>
      </c>
      <c r="N290">
        <v>75</v>
      </c>
      <c r="O290" s="2" t="s">
        <v>1442</v>
      </c>
      <c r="P290">
        <v>1</v>
      </c>
      <c r="Q290" t="s">
        <v>1443</v>
      </c>
      <c r="R290">
        <v>0</v>
      </c>
      <c r="S290" t="s">
        <v>1444</v>
      </c>
      <c r="T290">
        <v>1</v>
      </c>
      <c r="U290" t="s">
        <v>1445</v>
      </c>
      <c r="V290" t="s">
        <v>1446</v>
      </c>
    </row>
    <row r="291" spans="1:22" hidden="1" x14ac:dyDescent="0.2">
      <c r="A291" t="s">
        <v>22</v>
      </c>
      <c r="B291" t="s">
        <v>1438</v>
      </c>
      <c r="C291" t="s">
        <v>24</v>
      </c>
      <c r="D291" t="s">
        <v>1439</v>
      </c>
      <c r="E291" t="s">
        <v>26</v>
      </c>
      <c r="F291" t="s">
        <v>27</v>
      </c>
      <c r="G291" t="s">
        <v>28</v>
      </c>
      <c r="H291">
        <v>2</v>
      </c>
      <c r="I291" s="1" t="s">
        <v>1440</v>
      </c>
      <c r="J291" s="1" t="s">
        <v>1447</v>
      </c>
      <c r="K291">
        <v>1132</v>
      </c>
      <c r="L291">
        <v>564</v>
      </c>
      <c r="M291">
        <v>117</v>
      </c>
      <c r="N291">
        <v>70</v>
      </c>
      <c r="O291" s="2" t="s">
        <v>1448</v>
      </c>
      <c r="P291">
        <v>1</v>
      </c>
      <c r="Q291" t="s">
        <v>1449</v>
      </c>
      <c r="R291">
        <v>1</v>
      </c>
      <c r="S291" t="s">
        <v>1450</v>
      </c>
      <c r="T291">
        <v>1</v>
      </c>
      <c r="U291" t="s">
        <v>1451</v>
      </c>
      <c r="V291" t="s">
        <v>1446</v>
      </c>
    </row>
    <row r="292" spans="1:22" hidden="1" x14ac:dyDescent="0.2">
      <c r="A292" t="s">
        <v>22</v>
      </c>
      <c r="B292" t="s">
        <v>1438</v>
      </c>
      <c r="C292" t="s">
        <v>24</v>
      </c>
      <c r="D292" t="s">
        <v>1439</v>
      </c>
      <c r="E292" t="s">
        <v>26</v>
      </c>
      <c r="F292" t="s">
        <v>27</v>
      </c>
      <c r="G292" t="s">
        <v>28</v>
      </c>
      <c r="H292">
        <v>3</v>
      </c>
      <c r="I292" s="1" t="s">
        <v>1440</v>
      </c>
      <c r="J292" s="1" t="s">
        <v>1452</v>
      </c>
      <c r="K292">
        <v>1132</v>
      </c>
      <c r="L292">
        <v>564</v>
      </c>
      <c r="M292">
        <v>135</v>
      </c>
      <c r="N292">
        <v>86</v>
      </c>
      <c r="O292" s="2" t="s">
        <v>1453</v>
      </c>
      <c r="P292">
        <v>1</v>
      </c>
      <c r="Q292" t="s">
        <v>1454</v>
      </c>
      <c r="R292">
        <v>0</v>
      </c>
      <c r="S292" t="s">
        <v>1455</v>
      </c>
      <c r="T292">
        <v>1</v>
      </c>
      <c r="U292" t="s">
        <v>99</v>
      </c>
      <c r="V292" t="s">
        <v>1446</v>
      </c>
    </row>
    <row r="293" spans="1:22" hidden="1" x14ac:dyDescent="0.2">
      <c r="A293" t="s">
        <v>22</v>
      </c>
      <c r="B293" t="s">
        <v>1438</v>
      </c>
      <c r="C293" t="s">
        <v>24</v>
      </c>
      <c r="D293" t="s">
        <v>1439</v>
      </c>
      <c r="E293" t="s">
        <v>26</v>
      </c>
      <c r="F293" t="s">
        <v>46</v>
      </c>
      <c r="G293" t="s">
        <v>28</v>
      </c>
      <c r="H293">
        <v>1</v>
      </c>
      <c r="I293" s="1" t="s">
        <v>1456</v>
      </c>
      <c r="J293" s="1" t="s">
        <v>1457</v>
      </c>
      <c r="K293">
        <v>1160</v>
      </c>
      <c r="L293">
        <v>578</v>
      </c>
      <c r="M293">
        <v>203</v>
      </c>
      <c r="N293">
        <v>129</v>
      </c>
      <c r="O293" s="2" t="s">
        <v>1458</v>
      </c>
      <c r="P293">
        <v>1</v>
      </c>
      <c r="Q293" t="s">
        <v>1459</v>
      </c>
      <c r="R293">
        <v>1</v>
      </c>
      <c r="S293" t="s">
        <v>1460</v>
      </c>
      <c r="T293">
        <v>1</v>
      </c>
      <c r="U293" t="s">
        <v>1461</v>
      </c>
      <c r="V293" t="s">
        <v>1446</v>
      </c>
    </row>
    <row r="294" spans="1:22" hidden="1" x14ac:dyDescent="0.2">
      <c r="A294" t="s">
        <v>22</v>
      </c>
      <c r="B294" t="s">
        <v>1438</v>
      </c>
      <c r="C294" t="s">
        <v>24</v>
      </c>
      <c r="D294" t="s">
        <v>1439</v>
      </c>
      <c r="E294" t="s">
        <v>26</v>
      </c>
      <c r="F294" t="s">
        <v>46</v>
      </c>
      <c r="G294" t="s">
        <v>28</v>
      </c>
      <c r="H294">
        <v>2</v>
      </c>
      <c r="I294" s="1" t="s">
        <v>1456</v>
      </c>
      <c r="J294" s="1" t="s">
        <v>1462</v>
      </c>
      <c r="K294">
        <v>1160</v>
      </c>
      <c r="L294">
        <v>578</v>
      </c>
      <c r="M294">
        <v>194</v>
      </c>
      <c r="N294">
        <v>123</v>
      </c>
      <c r="O294" s="2" t="s">
        <v>1463</v>
      </c>
      <c r="P294">
        <v>1</v>
      </c>
      <c r="Q294" t="s">
        <v>1464</v>
      </c>
      <c r="R294">
        <v>1</v>
      </c>
      <c r="S294" t="s">
        <v>1465</v>
      </c>
      <c r="T294">
        <v>1</v>
      </c>
      <c r="U294" t="s">
        <v>1466</v>
      </c>
      <c r="V294" t="s">
        <v>1446</v>
      </c>
    </row>
    <row r="295" spans="1:22" hidden="1" x14ac:dyDescent="0.2">
      <c r="A295" t="s">
        <v>22</v>
      </c>
      <c r="B295" t="s">
        <v>1438</v>
      </c>
      <c r="C295" t="s">
        <v>24</v>
      </c>
      <c r="D295" t="s">
        <v>1439</v>
      </c>
      <c r="E295" t="s">
        <v>26</v>
      </c>
      <c r="F295" t="s">
        <v>46</v>
      </c>
      <c r="G295" t="s">
        <v>28</v>
      </c>
      <c r="H295">
        <v>3</v>
      </c>
      <c r="I295" s="1" t="s">
        <v>1456</v>
      </c>
      <c r="J295" s="1" t="s">
        <v>1467</v>
      </c>
      <c r="K295">
        <v>1160</v>
      </c>
      <c r="L295">
        <v>578</v>
      </c>
      <c r="M295">
        <v>193</v>
      </c>
      <c r="N295">
        <v>119</v>
      </c>
      <c r="O295" s="2" t="s">
        <v>1468</v>
      </c>
      <c r="P295">
        <v>1</v>
      </c>
      <c r="Q295" t="s">
        <v>1469</v>
      </c>
      <c r="R295">
        <v>0</v>
      </c>
      <c r="S295" t="s">
        <v>1470</v>
      </c>
      <c r="T295">
        <v>1</v>
      </c>
      <c r="U295" t="s">
        <v>1471</v>
      </c>
      <c r="V295" t="s">
        <v>1446</v>
      </c>
    </row>
    <row r="296" spans="1:22" hidden="1" x14ac:dyDescent="0.2">
      <c r="A296" t="s">
        <v>22</v>
      </c>
      <c r="B296" t="s">
        <v>1438</v>
      </c>
      <c r="C296" t="s">
        <v>24</v>
      </c>
      <c r="D296" t="s">
        <v>1439</v>
      </c>
      <c r="E296" t="s">
        <v>26</v>
      </c>
      <c r="F296" t="s">
        <v>61</v>
      </c>
      <c r="G296" t="s">
        <v>28</v>
      </c>
      <c r="H296">
        <v>1</v>
      </c>
      <c r="I296" s="1" t="s">
        <v>1472</v>
      </c>
      <c r="J296" s="1" t="s">
        <v>1473</v>
      </c>
      <c r="K296">
        <v>1195</v>
      </c>
      <c r="L296">
        <v>600</v>
      </c>
      <c r="M296">
        <v>194</v>
      </c>
      <c r="N296">
        <v>114</v>
      </c>
      <c r="O296" s="2" t="s">
        <v>1474</v>
      </c>
      <c r="P296">
        <v>1</v>
      </c>
      <c r="Q296" t="s">
        <v>1475</v>
      </c>
      <c r="R296">
        <v>1</v>
      </c>
      <c r="S296" t="s">
        <v>1476</v>
      </c>
      <c r="T296">
        <v>1</v>
      </c>
      <c r="U296" t="s">
        <v>939</v>
      </c>
      <c r="V296" t="s">
        <v>1446</v>
      </c>
    </row>
    <row r="297" spans="1:22" hidden="1" x14ac:dyDescent="0.2">
      <c r="A297" t="s">
        <v>22</v>
      </c>
      <c r="B297" t="s">
        <v>1438</v>
      </c>
      <c r="C297" t="s">
        <v>24</v>
      </c>
      <c r="D297" t="s">
        <v>1439</v>
      </c>
      <c r="E297" t="s">
        <v>26</v>
      </c>
      <c r="F297" t="s">
        <v>61</v>
      </c>
      <c r="G297" t="s">
        <v>28</v>
      </c>
      <c r="H297">
        <v>2</v>
      </c>
      <c r="I297" s="1" t="s">
        <v>1472</v>
      </c>
      <c r="J297" s="1" t="s">
        <v>1477</v>
      </c>
      <c r="K297">
        <v>1195</v>
      </c>
      <c r="L297">
        <v>600</v>
      </c>
      <c r="M297">
        <v>211</v>
      </c>
      <c r="N297">
        <v>122</v>
      </c>
      <c r="O297" s="2" t="s">
        <v>1478</v>
      </c>
      <c r="P297">
        <v>1</v>
      </c>
      <c r="Q297" t="s">
        <v>1479</v>
      </c>
      <c r="R297">
        <v>1</v>
      </c>
      <c r="S297" t="s">
        <v>1480</v>
      </c>
      <c r="T297">
        <v>1</v>
      </c>
      <c r="U297" t="s">
        <v>257</v>
      </c>
      <c r="V297" t="s">
        <v>1446</v>
      </c>
    </row>
    <row r="298" spans="1:22" hidden="1" x14ac:dyDescent="0.2">
      <c r="A298" t="s">
        <v>22</v>
      </c>
      <c r="B298" t="s">
        <v>1438</v>
      </c>
      <c r="C298" t="s">
        <v>24</v>
      </c>
      <c r="D298" t="s">
        <v>1439</v>
      </c>
      <c r="E298" t="s">
        <v>26</v>
      </c>
      <c r="F298" t="s">
        <v>61</v>
      </c>
      <c r="G298" t="s">
        <v>28</v>
      </c>
      <c r="H298">
        <v>3</v>
      </c>
      <c r="I298" s="1" t="s">
        <v>1472</v>
      </c>
      <c r="J298" s="1" t="s">
        <v>1481</v>
      </c>
      <c r="K298">
        <v>1195</v>
      </c>
      <c r="L298">
        <v>600</v>
      </c>
      <c r="M298">
        <v>217</v>
      </c>
      <c r="N298">
        <v>135</v>
      </c>
      <c r="O298" s="2" t="s">
        <v>1482</v>
      </c>
      <c r="P298">
        <v>1</v>
      </c>
      <c r="Q298" t="s">
        <v>1483</v>
      </c>
      <c r="R298">
        <v>1</v>
      </c>
      <c r="S298" t="s">
        <v>1484</v>
      </c>
      <c r="T298">
        <v>1</v>
      </c>
      <c r="U298" t="s">
        <v>1485</v>
      </c>
      <c r="V298" t="s">
        <v>1446</v>
      </c>
    </row>
    <row r="299" spans="1:22" hidden="1" x14ac:dyDescent="0.2">
      <c r="A299" t="s">
        <v>76</v>
      </c>
      <c r="B299" t="s">
        <v>1438</v>
      </c>
      <c r="C299" t="s">
        <v>24</v>
      </c>
      <c r="D299" t="s">
        <v>1439</v>
      </c>
      <c r="E299" t="s">
        <v>26</v>
      </c>
      <c r="F299" t="s">
        <v>77</v>
      </c>
      <c r="G299" t="s">
        <v>28</v>
      </c>
      <c r="H299">
        <v>1</v>
      </c>
      <c r="I299" s="1" t="s">
        <v>1472</v>
      </c>
      <c r="J299" s="1" t="s">
        <v>1486</v>
      </c>
      <c r="K299">
        <v>1053</v>
      </c>
      <c r="L299">
        <v>600</v>
      </c>
      <c r="M299">
        <v>157</v>
      </c>
      <c r="N299">
        <v>100</v>
      </c>
      <c r="O299" s="2" t="s">
        <v>1487</v>
      </c>
      <c r="P299">
        <v>0</v>
      </c>
      <c r="Q299" t="s">
        <v>1488</v>
      </c>
      <c r="R299">
        <v>1</v>
      </c>
      <c r="S299" t="s">
        <v>1489</v>
      </c>
      <c r="T299">
        <v>1</v>
      </c>
      <c r="U299" t="s">
        <v>1490</v>
      </c>
      <c r="V299" t="s">
        <v>1446</v>
      </c>
    </row>
    <row r="300" spans="1:22" hidden="1" x14ac:dyDescent="0.2">
      <c r="A300" t="s">
        <v>76</v>
      </c>
      <c r="B300" t="s">
        <v>1438</v>
      </c>
      <c r="C300" t="s">
        <v>24</v>
      </c>
      <c r="D300" t="s">
        <v>1439</v>
      </c>
      <c r="E300" t="s">
        <v>26</v>
      </c>
      <c r="F300" t="s">
        <v>77</v>
      </c>
      <c r="G300" t="s">
        <v>28</v>
      </c>
      <c r="H300">
        <v>2</v>
      </c>
      <c r="I300" s="1" t="s">
        <v>1472</v>
      </c>
      <c r="J300" s="1" t="s">
        <v>1491</v>
      </c>
      <c r="K300">
        <v>1053</v>
      </c>
      <c r="L300">
        <v>600</v>
      </c>
      <c r="M300">
        <v>152</v>
      </c>
      <c r="N300">
        <v>93</v>
      </c>
      <c r="O300" s="2" t="s">
        <v>1492</v>
      </c>
      <c r="P300">
        <v>0</v>
      </c>
      <c r="Q300" t="s">
        <v>1493</v>
      </c>
      <c r="R300">
        <v>1</v>
      </c>
      <c r="S300" t="s">
        <v>1494</v>
      </c>
      <c r="T300">
        <v>1</v>
      </c>
      <c r="U300" t="s">
        <v>109</v>
      </c>
      <c r="V300" t="s">
        <v>1446</v>
      </c>
    </row>
    <row r="301" spans="1:22" hidden="1" x14ac:dyDescent="0.2">
      <c r="A301" t="s">
        <v>76</v>
      </c>
      <c r="B301" t="s">
        <v>1438</v>
      </c>
      <c r="C301" t="s">
        <v>24</v>
      </c>
      <c r="D301" t="s">
        <v>1439</v>
      </c>
      <c r="E301" t="s">
        <v>26</v>
      </c>
      <c r="F301" t="s">
        <v>77</v>
      </c>
      <c r="G301" t="s">
        <v>28</v>
      </c>
      <c r="H301">
        <v>3</v>
      </c>
      <c r="I301" s="1" t="s">
        <v>1472</v>
      </c>
      <c r="J301" s="1" t="s">
        <v>1495</v>
      </c>
      <c r="K301">
        <v>1053</v>
      </c>
      <c r="L301">
        <v>600</v>
      </c>
      <c r="M301">
        <v>146</v>
      </c>
      <c r="N301">
        <v>90</v>
      </c>
      <c r="O301" s="2" t="s">
        <v>1496</v>
      </c>
      <c r="P301">
        <v>0</v>
      </c>
      <c r="Q301" t="s">
        <v>1497</v>
      </c>
      <c r="R301">
        <v>1</v>
      </c>
      <c r="S301" t="s">
        <v>1498</v>
      </c>
      <c r="T301">
        <v>1</v>
      </c>
      <c r="U301" t="s">
        <v>1499</v>
      </c>
      <c r="V301" t="s">
        <v>1446</v>
      </c>
    </row>
    <row r="302" spans="1:22" hidden="1" x14ac:dyDescent="0.2">
      <c r="A302" t="s">
        <v>93</v>
      </c>
      <c r="B302" t="s">
        <v>1438</v>
      </c>
      <c r="C302" t="s">
        <v>24</v>
      </c>
      <c r="D302" t="s">
        <v>1439</v>
      </c>
      <c r="E302" t="s">
        <v>26</v>
      </c>
      <c r="F302" t="s">
        <v>94</v>
      </c>
      <c r="G302" t="s">
        <v>28</v>
      </c>
      <c r="H302">
        <v>1</v>
      </c>
      <c r="I302" s="1" t="s">
        <v>1440</v>
      </c>
      <c r="J302" s="1" t="s">
        <v>1500</v>
      </c>
      <c r="K302">
        <v>997</v>
      </c>
      <c r="L302">
        <v>564</v>
      </c>
      <c r="M302">
        <v>96</v>
      </c>
      <c r="N302">
        <v>61</v>
      </c>
      <c r="O302" s="2" t="s">
        <v>1501</v>
      </c>
      <c r="P302">
        <v>0</v>
      </c>
      <c r="Q302" t="s">
        <v>1502</v>
      </c>
      <c r="R302">
        <v>1</v>
      </c>
      <c r="S302" t="s">
        <v>1503</v>
      </c>
      <c r="T302">
        <v>1</v>
      </c>
      <c r="U302" t="s">
        <v>1504</v>
      </c>
      <c r="V302" t="s">
        <v>1446</v>
      </c>
    </row>
    <row r="303" spans="1:22" hidden="1" x14ac:dyDescent="0.2">
      <c r="A303" t="s">
        <v>93</v>
      </c>
      <c r="B303" t="s">
        <v>1438</v>
      </c>
      <c r="C303" t="s">
        <v>24</v>
      </c>
      <c r="D303" t="s">
        <v>1439</v>
      </c>
      <c r="E303" t="s">
        <v>26</v>
      </c>
      <c r="F303" t="s">
        <v>94</v>
      </c>
      <c r="G303" t="s">
        <v>28</v>
      </c>
      <c r="H303">
        <v>2</v>
      </c>
      <c r="I303" s="1" t="s">
        <v>1440</v>
      </c>
      <c r="J303" s="1" t="s">
        <v>1505</v>
      </c>
      <c r="K303">
        <v>997</v>
      </c>
      <c r="L303">
        <v>564</v>
      </c>
      <c r="M303">
        <v>102</v>
      </c>
      <c r="N303">
        <v>66</v>
      </c>
      <c r="O303" s="2" t="s">
        <v>1506</v>
      </c>
      <c r="P303">
        <v>1</v>
      </c>
      <c r="Q303" t="s">
        <v>1507</v>
      </c>
      <c r="R303">
        <v>1</v>
      </c>
      <c r="S303" t="s">
        <v>1508</v>
      </c>
      <c r="T303">
        <v>1</v>
      </c>
      <c r="U303" t="s">
        <v>325</v>
      </c>
      <c r="V303" t="s">
        <v>1446</v>
      </c>
    </row>
    <row r="304" spans="1:22" hidden="1" x14ac:dyDescent="0.2">
      <c r="A304" t="s">
        <v>93</v>
      </c>
      <c r="B304" t="s">
        <v>1438</v>
      </c>
      <c r="C304" t="s">
        <v>24</v>
      </c>
      <c r="D304" t="s">
        <v>1439</v>
      </c>
      <c r="E304" t="s">
        <v>26</v>
      </c>
      <c r="F304" t="s">
        <v>94</v>
      </c>
      <c r="G304" t="s">
        <v>28</v>
      </c>
      <c r="H304">
        <v>3</v>
      </c>
      <c r="I304" s="1" t="s">
        <v>1440</v>
      </c>
      <c r="J304" s="1" t="s">
        <v>1509</v>
      </c>
      <c r="K304">
        <v>997</v>
      </c>
      <c r="L304">
        <v>564</v>
      </c>
      <c r="M304">
        <v>119</v>
      </c>
      <c r="N304">
        <v>84</v>
      </c>
      <c r="O304" s="2" t="s">
        <v>1510</v>
      </c>
      <c r="P304">
        <v>1</v>
      </c>
      <c r="Q304" t="s">
        <v>1511</v>
      </c>
      <c r="R304">
        <v>0</v>
      </c>
      <c r="S304" t="s">
        <v>1512</v>
      </c>
      <c r="T304">
        <v>1</v>
      </c>
      <c r="U304" t="s">
        <v>775</v>
      </c>
      <c r="V304" t="s">
        <v>1446</v>
      </c>
    </row>
    <row r="305" spans="1:22" hidden="1" x14ac:dyDescent="0.2">
      <c r="A305" t="s">
        <v>93</v>
      </c>
      <c r="B305" t="s">
        <v>1438</v>
      </c>
      <c r="C305" t="s">
        <v>24</v>
      </c>
      <c r="D305" t="s">
        <v>1439</v>
      </c>
      <c r="E305" t="s">
        <v>26</v>
      </c>
      <c r="F305" t="s">
        <v>110</v>
      </c>
      <c r="G305" t="s">
        <v>28</v>
      </c>
      <c r="H305">
        <v>1</v>
      </c>
      <c r="I305" s="1" t="s">
        <v>1456</v>
      </c>
      <c r="J305" s="1" t="s">
        <v>1513</v>
      </c>
      <c r="K305">
        <v>1022</v>
      </c>
      <c r="L305">
        <v>578</v>
      </c>
      <c r="M305">
        <v>173</v>
      </c>
      <c r="N305">
        <v>120</v>
      </c>
      <c r="O305" s="2" t="s">
        <v>1514</v>
      </c>
      <c r="P305">
        <v>1</v>
      </c>
      <c r="Q305" t="s">
        <v>1515</v>
      </c>
      <c r="R305">
        <v>1</v>
      </c>
      <c r="S305" t="s">
        <v>1516</v>
      </c>
      <c r="T305">
        <v>1</v>
      </c>
      <c r="U305" t="s">
        <v>375</v>
      </c>
      <c r="V305" t="s">
        <v>1446</v>
      </c>
    </row>
    <row r="306" spans="1:22" x14ac:dyDescent="0.2">
      <c r="A306" t="s">
        <v>93</v>
      </c>
      <c r="B306" t="s">
        <v>1438</v>
      </c>
      <c r="C306" t="s">
        <v>24</v>
      </c>
      <c r="D306" t="s">
        <v>1439</v>
      </c>
      <c r="E306" t="s">
        <v>26</v>
      </c>
      <c r="F306" t="s">
        <v>110</v>
      </c>
      <c r="G306" t="s">
        <v>28</v>
      </c>
      <c r="H306">
        <v>2</v>
      </c>
      <c r="I306" s="1" t="s">
        <v>1456</v>
      </c>
      <c r="J306" s="1" t="s">
        <v>1517</v>
      </c>
      <c r="K306">
        <v>1022</v>
      </c>
      <c r="L306">
        <v>578</v>
      </c>
      <c r="M306">
        <v>141</v>
      </c>
      <c r="N306">
        <v>93</v>
      </c>
      <c r="O306" s="2" t="s">
        <v>1518</v>
      </c>
      <c r="P306">
        <v>0</v>
      </c>
      <c r="Q306" t="s">
        <v>1519</v>
      </c>
      <c r="R306">
        <v>1</v>
      </c>
      <c r="S306" t="s">
        <v>1520</v>
      </c>
      <c r="T306">
        <v>1</v>
      </c>
      <c r="U306" t="s">
        <v>1521</v>
      </c>
      <c r="V306" t="s">
        <v>1446</v>
      </c>
    </row>
    <row r="307" spans="1:22" hidden="1" x14ac:dyDescent="0.2">
      <c r="A307" t="s">
        <v>93</v>
      </c>
      <c r="B307" t="s">
        <v>1438</v>
      </c>
      <c r="C307" t="s">
        <v>24</v>
      </c>
      <c r="D307" t="s">
        <v>1439</v>
      </c>
      <c r="E307" t="s">
        <v>26</v>
      </c>
      <c r="F307" t="s">
        <v>110</v>
      </c>
      <c r="G307" t="s">
        <v>28</v>
      </c>
      <c r="H307">
        <v>3</v>
      </c>
      <c r="I307" s="1" t="s">
        <v>1456</v>
      </c>
      <c r="J307" s="1" t="s">
        <v>1522</v>
      </c>
      <c r="K307">
        <v>1022</v>
      </c>
      <c r="L307">
        <v>578</v>
      </c>
      <c r="M307">
        <v>167</v>
      </c>
      <c r="N307">
        <v>117</v>
      </c>
      <c r="O307" s="2" t="s">
        <v>1523</v>
      </c>
      <c r="P307">
        <v>1</v>
      </c>
      <c r="Q307" t="s">
        <v>1524</v>
      </c>
      <c r="R307">
        <v>1</v>
      </c>
      <c r="S307" t="s">
        <v>1525</v>
      </c>
      <c r="T307">
        <v>1</v>
      </c>
      <c r="U307" t="s">
        <v>109</v>
      </c>
      <c r="V307" t="s">
        <v>1446</v>
      </c>
    </row>
    <row r="308" spans="1:22" hidden="1" x14ac:dyDescent="0.2">
      <c r="A308" t="s">
        <v>93</v>
      </c>
      <c r="B308" t="s">
        <v>1438</v>
      </c>
      <c r="C308" t="s">
        <v>24</v>
      </c>
      <c r="D308" t="s">
        <v>1439</v>
      </c>
      <c r="E308" t="s">
        <v>26</v>
      </c>
      <c r="F308" t="s">
        <v>125</v>
      </c>
      <c r="G308" t="s">
        <v>28</v>
      </c>
      <c r="H308">
        <v>1</v>
      </c>
      <c r="I308" s="1" t="s">
        <v>1472</v>
      </c>
      <c r="J308" s="1" t="s">
        <v>1526</v>
      </c>
      <c r="K308">
        <v>1053</v>
      </c>
      <c r="L308">
        <v>600</v>
      </c>
      <c r="M308">
        <v>168</v>
      </c>
      <c r="N308">
        <v>112</v>
      </c>
      <c r="O308" s="2" t="s">
        <v>1527</v>
      </c>
      <c r="P308">
        <v>0</v>
      </c>
      <c r="Q308" t="s">
        <v>1528</v>
      </c>
      <c r="R308">
        <v>1</v>
      </c>
      <c r="S308" t="s">
        <v>1529</v>
      </c>
      <c r="T308">
        <v>1</v>
      </c>
      <c r="U308" t="s">
        <v>339</v>
      </c>
      <c r="V308" t="s">
        <v>1446</v>
      </c>
    </row>
    <row r="309" spans="1:22" hidden="1" x14ac:dyDescent="0.2">
      <c r="A309" t="s">
        <v>93</v>
      </c>
      <c r="B309" t="s">
        <v>1438</v>
      </c>
      <c r="C309" t="s">
        <v>24</v>
      </c>
      <c r="D309" t="s">
        <v>1439</v>
      </c>
      <c r="E309" t="s">
        <v>26</v>
      </c>
      <c r="F309" t="s">
        <v>125</v>
      </c>
      <c r="G309" t="s">
        <v>28</v>
      </c>
      <c r="H309">
        <v>2</v>
      </c>
      <c r="I309" s="1" t="s">
        <v>1472</v>
      </c>
      <c r="J309" s="1" t="s">
        <v>1530</v>
      </c>
      <c r="K309">
        <v>1053</v>
      </c>
      <c r="L309">
        <v>600</v>
      </c>
      <c r="M309">
        <v>185</v>
      </c>
      <c r="N309">
        <v>129</v>
      </c>
      <c r="O309" s="2" t="s">
        <v>1531</v>
      </c>
      <c r="P309">
        <v>1</v>
      </c>
      <c r="Q309" t="s">
        <v>1532</v>
      </c>
      <c r="R309">
        <v>1</v>
      </c>
      <c r="S309" t="s">
        <v>1533</v>
      </c>
      <c r="T309">
        <v>1</v>
      </c>
      <c r="U309" t="s">
        <v>1534</v>
      </c>
      <c r="V309" t="s">
        <v>1446</v>
      </c>
    </row>
    <row r="310" spans="1:22" hidden="1" x14ac:dyDescent="0.2">
      <c r="A310" t="s">
        <v>93</v>
      </c>
      <c r="B310" t="s">
        <v>1438</v>
      </c>
      <c r="C310" t="s">
        <v>24</v>
      </c>
      <c r="D310" t="s">
        <v>1439</v>
      </c>
      <c r="E310" t="s">
        <v>26</v>
      </c>
      <c r="F310" t="s">
        <v>125</v>
      </c>
      <c r="G310" t="s">
        <v>28</v>
      </c>
      <c r="H310">
        <v>3</v>
      </c>
      <c r="I310" s="1" t="s">
        <v>1472</v>
      </c>
      <c r="J310" s="1" t="s">
        <v>1535</v>
      </c>
      <c r="K310">
        <v>1053</v>
      </c>
      <c r="L310">
        <v>600</v>
      </c>
      <c r="M310">
        <v>179</v>
      </c>
      <c r="N310">
        <v>124</v>
      </c>
      <c r="O310">
        <v>3.57257080078125</v>
      </c>
      <c r="P310">
        <v>0</v>
      </c>
      <c r="Q310" t="s">
        <v>1536</v>
      </c>
      <c r="R310">
        <v>1</v>
      </c>
      <c r="S310" t="s">
        <v>1537</v>
      </c>
      <c r="T310">
        <v>1</v>
      </c>
      <c r="U310" t="s">
        <v>325</v>
      </c>
      <c r="V310" t="s">
        <v>1446</v>
      </c>
    </row>
    <row r="311" spans="1:22" hidden="1" x14ac:dyDescent="0.2">
      <c r="A311" t="s">
        <v>140</v>
      </c>
      <c r="B311" t="s">
        <v>1438</v>
      </c>
      <c r="C311" t="s">
        <v>24</v>
      </c>
      <c r="D311" t="s">
        <v>1439</v>
      </c>
      <c r="E311" t="s">
        <v>26</v>
      </c>
      <c r="F311" t="s">
        <v>141</v>
      </c>
      <c r="G311" t="s">
        <v>28</v>
      </c>
      <c r="H311">
        <v>1</v>
      </c>
      <c r="I311" s="1" t="s">
        <v>1538</v>
      </c>
      <c r="J311" t="s">
        <v>1539</v>
      </c>
      <c r="K311">
        <v>961</v>
      </c>
      <c r="L311">
        <v>549</v>
      </c>
      <c r="M311">
        <v>425</v>
      </c>
      <c r="N311">
        <v>25</v>
      </c>
      <c r="O311" s="2" t="s">
        <v>1540</v>
      </c>
      <c r="P311">
        <v>1</v>
      </c>
      <c r="Q311" t="s">
        <v>1541</v>
      </c>
      <c r="R311">
        <v>0</v>
      </c>
      <c r="S311" t="s">
        <v>1542</v>
      </c>
      <c r="T311">
        <v>1</v>
      </c>
      <c r="U311" t="s">
        <v>1543</v>
      </c>
      <c r="V311" t="s">
        <v>1446</v>
      </c>
    </row>
    <row r="312" spans="1:22" hidden="1" x14ac:dyDescent="0.2">
      <c r="A312" t="s">
        <v>140</v>
      </c>
      <c r="B312" t="s">
        <v>1438</v>
      </c>
      <c r="C312" t="s">
        <v>24</v>
      </c>
      <c r="D312" t="s">
        <v>1439</v>
      </c>
      <c r="E312" t="s">
        <v>26</v>
      </c>
      <c r="F312" t="s">
        <v>141</v>
      </c>
      <c r="G312" t="s">
        <v>28</v>
      </c>
      <c r="H312">
        <v>2</v>
      </c>
      <c r="I312" s="1" t="s">
        <v>1538</v>
      </c>
      <c r="J312" t="s">
        <v>1544</v>
      </c>
      <c r="K312">
        <v>961</v>
      </c>
      <c r="L312">
        <v>549</v>
      </c>
      <c r="M312">
        <v>488</v>
      </c>
      <c r="N312">
        <v>23</v>
      </c>
      <c r="O312" s="2" t="s">
        <v>1545</v>
      </c>
      <c r="P312">
        <v>1</v>
      </c>
      <c r="Q312" t="s">
        <v>1546</v>
      </c>
      <c r="R312">
        <v>0</v>
      </c>
      <c r="S312" t="s">
        <v>1547</v>
      </c>
      <c r="T312">
        <v>1</v>
      </c>
      <c r="U312" t="s">
        <v>1548</v>
      </c>
      <c r="V312" t="s">
        <v>1446</v>
      </c>
    </row>
    <row r="313" spans="1:22" hidden="1" x14ac:dyDescent="0.2">
      <c r="A313" t="s">
        <v>140</v>
      </c>
      <c r="B313" t="s">
        <v>1438</v>
      </c>
      <c r="C313" t="s">
        <v>24</v>
      </c>
      <c r="D313" t="s">
        <v>1439</v>
      </c>
      <c r="E313" t="s">
        <v>26</v>
      </c>
      <c r="F313" t="s">
        <v>141</v>
      </c>
      <c r="G313" t="s">
        <v>28</v>
      </c>
      <c r="H313">
        <v>3</v>
      </c>
      <c r="I313" s="1" t="s">
        <v>1538</v>
      </c>
      <c r="J313" t="s">
        <v>1549</v>
      </c>
      <c r="K313">
        <v>961</v>
      </c>
      <c r="L313">
        <v>549</v>
      </c>
      <c r="M313">
        <v>366</v>
      </c>
      <c r="N313">
        <v>30</v>
      </c>
      <c r="O313" s="2" t="s">
        <v>1550</v>
      </c>
      <c r="P313">
        <v>1</v>
      </c>
      <c r="Q313" t="s">
        <v>1551</v>
      </c>
      <c r="R313">
        <v>0</v>
      </c>
      <c r="S313" t="s">
        <v>1552</v>
      </c>
      <c r="T313">
        <v>1</v>
      </c>
      <c r="U313" t="s">
        <v>939</v>
      </c>
      <c r="V313" t="s">
        <v>1446</v>
      </c>
    </row>
    <row r="314" spans="1:22" hidden="1" x14ac:dyDescent="0.2">
      <c r="A314" t="s">
        <v>22</v>
      </c>
      <c r="B314" t="s">
        <v>1438</v>
      </c>
      <c r="C314" t="s">
        <v>24</v>
      </c>
      <c r="D314" t="s">
        <v>1553</v>
      </c>
      <c r="E314" t="s">
        <v>26</v>
      </c>
      <c r="F314" t="s">
        <v>27</v>
      </c>
      <c r="G314" t="s">
        <v>28</v>
      </c>
      <c r="H314">
        <v>1</v>
      </c>
      <c r="I314" s="1" t="s">
        <v>1554</v>
      </c>
      <c r="J314" s="1" t="s">
        <v>1555</v>
      </c>
      <c r="K314">
        <v>1142</v>
      </c>
      <c r="L314">
        <v>577</v>
      </c>
      <c r="M314">
        <v>121</v>
      </c>
      <c r="N314">
        <v>69</v>
      </c>
      <c r="O314" s="2" t="s">
        <v>1556</v>
      </c>
      <c r="P314">
        <v>1</v>
      </c>
      <c r="Q314" t="s">
        <v>1557</v>
      </c>
      <c r="R314">
        <v>1</v>
      </c>
      <c r="S314" t="s">
        <v>1558</v>
      </c>
      <c r="T314">
        <v>1</v>
      </c>
      <c r="U314" t="s">
        <v>1559</v>
      </c>
      <c r="V314" t="s">
        <v>1560</v>
      </c>
    </row>
    <row r="315" spans="1:22" hidden="1" x14ac:dyDescent="0.2">
      <c r="A315" t="s">
        <v>22</v>
      </c>
      <c r="B315" t="s">
        <v>1438</v>
      </c>
      <c r="C315" t="s">
        <v>24</v>
      </c>
      <c r="D315" t="s">
        <v>1553</v>
      </c>
      <c r="E315" t="s">
        <v>26</v>
      </c>
      <c r="F315" t="s">
        <v>27</v>
      </c>
      <c r="G315" t="s">
        <v>28</v>
      </c>
      <c r="H315">
        <v>2</v>
      </c>
      <c r="I315" s="1" t="s">
        <v>1554</v>
      </c>
      <c r="J315" s="1" t="s">
        <v>1561</v>
      </c>
      <c r="K315">
        <v>1142</v>
      </c>
      <c r="L315">
        <v>577</v>
      </c>
      <c r="M315">
        <v>125</v>
      </c>
      <c r="N315">
        <v>71</v>
      </c>
      <c r="O315" s="2" t="s">
        <v>1562</v>
      </c>
      <c r="P315">
        <v>1</v>
      </c>
      <c r="Q315" t="s">
        <v>1563</v>
      </c>
      <c r="R315">
        <v>1</v>
      </c>
      <c r="S315" t="s">
        <v>1564</v>
      </c>
      <c r="T315">
        <v>1</v>
      </c>
      <c r="U315" t="s">
        <v>1565</v>
      </c>
      <c r="V315" t="s">
        <v>1560</v>
      </c>
    </row>
    <row r="316" spans="1:22" hidden="1" x14ac:dyDescent="0.2">
      <c r="A316" t="s">
        <v>22</v>
      </c>
      <c r="B316" t="s">
        <v>1438</v>
      </c>
      <c r="C316" t="s">
        <v>24</v>
      </c>
      <c r="D316" t="s">
        <v>1553</v>
      </c>
      <c r="E316" t="s">
        <v>26</v>
      </c>
      <c r="F316" t="s">
        <v>27</v>
      </c>
      <c r="G316" t="s">
        <v>28</v>
      </c>
      <c r="H316">
        <v>3</v>
      </c>
      <c r="I316" s="1" t="s">
        <v>1554</v>
      </c>
      <c r="J316" s="1" t="s">
        <v>1566</v>
      </c>
      <c r="K316">
        <v>1142</v>
      </c>
      <c r="L316">
        <v>577</v>
      </c>
      <c r="M316">
        <v>127</v>
      </c>
      <c r="N316">
        <v>72</v>
      </c>
      <c r="O316" s="2" t="s">
        <v>1567</v>
      </c>
      <c r="P316">
        <v>1</v>
      </c>
      <c r="Q316" t="s">
        <v>1568</v>
      </c>
      <c r="R316">
        <v>1</v>
      </c>
      <c r="S316" t="s">
        <v>1569</v>
      </c>
      <c r="T316">
        <v>1</v>
      </c>
      <c r="U316" t="s">
        <v>665</v>
      </c>
      <c r="V316" t="s">
        <v>1560</v>
      </c>
    </row>
    <row r="317" spans="1:22" hidden="1" x14ac:dyDescent="0.2">
      <c r="A317" t="s">
        <v>22</v>
      </c>
      <c r="B317" t="s">
        <v>1438</v>
      </c>
      <c r="C317" t="s">
        <v>24</v>
      </c>
      <c r="D317" t="s">
        <v>1553</v>
      </c>
      <c r="E317" t="s">
        <v>26</v>
      </c>
      <c r="F317" t="s">
        <v>46</v>
      </c>
      <c r="G317" t="s">
        <v>28</v>
      </c>
      <c r="H317">
        <v>1</v>
      </c>
      <c r="I317" s="1" t="s">
        <v>1570</v>
      </c>
      <c r="J317" s="1" t="s">
        <v>1571</v>
      </c>
      <c r="K317">
        <v>1170</v>
      </c>
      <c r="L317">
        <v>591</v>
      </c>
      <c r="M317">
        <v>184</v>
      </c>
      <c r="N317">
        <v>108</v>
      </c>
      <c r="O317">
        <v>5.2818019390106201</v>
      </c>
      <c r="P317">
        <v>1</v>
      </c>
      <c r="Q317" t="s">
        <v>1572</v>
      </c>
      <c r="R317">
        <v>1</v>
      </c>
      <c r="S317" t="s">
        <v>1573</v>
      </c>
      <c r="T317">
        <v>1</v>
      </c>
      <c r="U317" t="s">
        <v>330</v>
      </c>
      <c r="V317" t="s">
        <v>1560</v>
      </c>
    </row>
    <row r="318" spans="1:22" hidden="1" x14ac:dyDescent="0.2">
      <c r="A318" t="s">
        <v>22</v>
      </c>
      <c r="B318" t="s">
        <v>1438</v>
      </c>
      <c r="C318" t="s">
        <v>24</v>
      </c>
      <c r="D318" t="s">
        <v>1553</v>
      </c>
      <c r="E318" t="s">
        <v>26</v>
      </c>
      <c r="F318" t="s">
        <v>46</v>
      </c>
      <c r="G318" t="s">
        <v>28</v>
      </c>
      <c r="H318">
        <v>2</v>
      </c>
      <c r="I318" s="1" t="s">
        <v>1570</v>
      </c>
      <c r="J318" s="1" t="s">
        <v>1574</v>
      </c>
      <c r="K318">
        <v>1170</v>
      </c>
      <c r="L318">
        <v>591</v>
      </c>
      <c r="M318">
        <v>179</v>
      </c>
      <c r="N318">
        <v>105</v>
      </c>
      <c r="O318" s="2" t="s">
        <v>1575</v>
      </c>
      <c r="P318">
        <v>1</v>
      </c>
      <c r="Q318" t="s">
        <v>1576</v>
      </c>
      <c r="R318">
        <v>1</v>
      </c>
      <c r="S318" t="s">
        <v>1577</v>
      </c>
      <c r="T318">
        <v>1</v>
      </c>
      <c r="U318" t="s">
        <v>1256</v>
      </c>
      <c r="V318" t="s">
        <v>1560</v>
      </c>
    </row>
    <row r="319" spans="1:22" hidden="1" x14ac:dyDescent="0.2">
      <c r="A319" t="s">
        <v>22</v>
      </c>
      <c r="B319" t="s">
        <v>1438</v>
      </c>
      <c r="C319" t="s">
        <v>24</v>
      </c>
      <c r="D319" t="s">
        <v>1553</v>
      </c>
      <c r="E319" t="s">
        <v>26</v>
      </c>
      <c r="F319" t="s">
        <v>46</v>
      </c>
      <c r="G319" t="s">
        <v>28</v>
      </c>
      <c r="H319">
        <v>3</v>
      </c>
      <c r="I319" s="1" t="s">
        <v>1570</v>
      </c>
      <c r="J319" s="1" t="s">
        <v>1578</v>
      </c>
      <c r="K319">
        <v>1170</v>
      </c>
      <c r="L319">
        <v>591</v>
      </c>
      <c r="M319">
        <v>189</v>
      </c>
      <c r="N319">
        <v>113</v>
      </c>
      <c r="O319" s="2" t="s">
        <v>1579</v>
      </c>
      <c r="P319">
        <v>1</v>
      </c>
      <c r="Q319" t="s">
        <v>1580</v>
      </c>
      <c r="R319">
        <v>1</v>
      </c>
      <c r="S319" t="s">
        <v>1581</v>
      </c>
      <c r="T319">
        <v>1</v>
      </c>
      <c r="U319" t="s">
        <v>252</v>
      </c>
      <c r="V319" t="s">
        <v>1560</v>
      </c>
    </row>
    <row r="320" spans="1:22" hidden="1" x14ac:dyDescent="0.2">
      <c r="A320" t="s">
        <v>22</v>
      </c>
      <c r="B320" t="s">
        <v>1438</v>
      </c>
      <c r="C320" t="s">
        <v>24</v>
      </c>
      <c r="D320" t="s">
        <v>1553</v>
      </c>
      <c r="E320" t="s">
        <v>26</v>
      </c>
      <c r="F320" t="s">
        <v>61</v>
      </c>
      <c r="G320" t="s">
        <v>28</v>
      </c>
      <c r="H320">
        <v>1</v>
      </c>
      <c r="I320" s="1" t="s">
        <v>1582</v>
      </c>
      <c r="J320" s="1" t="s">
        <v>1583</v>
      </c>
      <c r="K320">
        <v>1205</v>
      </c>
      <c r="L320">
        <v>613</v>
      </c>
      <c r="M320">
        <v>192</v>
      </c>
      <c r="N320">
        <v>107</v>
      </c>
      <c r="O320" s="2" t="s">
        <v>1584</v>
      </c>
      <c r="P320">
        <v>0</v>
      </c>
      <c r="Q320" t="s">
        <v>1585</v>
      </c>
      <c r="R320">
        <v>1</v>
      </c>
      <c r="S320" t="s">
        <v>1586</v>
      </c>
      <c r="T320">
        <v>1</v>
      </c>
      <c r="U320" t="s">
        <v>1587</v>
      </c>
      <c r="V320" t="s">
        <v>1560</v>
      </c>
    </row>
    <row r="321" spans="1:22" hidden="1" x14ac:dyDescent="0.2">
      <c r="A321" t="s">
        <v>22</v>
      </c>
      <c r="B321" t="s">
        <v>1438</v>
      </c>
      <c r="C321" t="s">
        <v>24</v>
      </c>
      <c r="D321" t="s">
        <v>1553</v>
      </c>
      <c r="E321" t="s">
        <v>26</v>
      </c>
      <c r="F321" t="s">
        <v>61</v>
      </c>
      <c r="G321" t="s">
        <v>28</v>
      </c>
      <c r="H321">
        <v>2</v>
      </c>
      <c r="I321" s="1" t="s">
        <v>1582</v>
      </c>
      <c r="J321" s="1" t="s">
        <v>1588</v>
      </c>
      <c r="K321">
        <v>1205</v>
      </c>
      <c r="L321">
        <v>613</v>
      </c>
      <c r="M321">
        <v>228</v>
      </c>
      <c r="N321">
        <v>141</v>
      </c>
      <c r="O321" s="2" t="s">
        <v>1589</v>
      </c>
      <c r="P321">
        <v>1</v>
      </c>
      <c r="Q321" t="s">
        <v>1590</v>
      </c>
      <c r="R321">
        <v>1</v>
      </c>
      <c r="S321" t="s">
        <v>1591</v>
      </c>
      <c r="T321">
        <v>1</v>
      </c>
      <c r="U321" t="s">
        <v>104</v>
      </c>
      <c r="V321" t="s">
        <v>1560</v>
      </c>
    </row>
    <row r="322" spans="1:22" hidden="1" x14ac:dyDescent="0.2">
      <c r="A322" t="s">
        <v>22</v>
      </c>
      <c r="B322" t="s">
        <v>1438</v>
      </c>
      <c r="C322" t="s">
        <v>24</v>
      </c>
      <c r="D322" t="s">
        <v>1553</v>
      </c>
      <c r="E322" t="s">
        <v>26</v>
      </c>
      <c r="F322" t="s">
        <v>61</v>
      </c>
      <c r="G322" t="s">
        <v>28</v>
      </c>
      <c r="H322">
        <v>3</v>
      </c>
      <c r="I322" s="1" t="s">
        <v>1582</v>
      </c>
      <c r="J322" s="1" t="s">
        <v>1592</v>
      </c>
      <c r="K322">
        <v>1205</v>
      </c>
      <c r="L322">
        <v>613</v>
      </c>
      <c r="M322">
        <v>175</v>
      </c>
      <c r="N322">
        <v>95</v>
      </c>
      <c r="O322">
        <v>3.93695068359375</v>
      </c>
      <c r="P322">
        <v>1</v>
      </c>
      <c r="Q322" t="s">
        <v>1593</v>
      </c>
      <c r="R322">
        <v>1</v>
      </c>
      <c r="S322" t="s">
        <v>1594</v>
      </c>
      <c r="T322">
        <v>1</v>
      </c>
      <c r="U322" t="s">
        <v>939</v>
      </c>
      <c r="V322" t="s">
        <v>1560</v>
      </c>
    </row>
    <row r="323" spans="1:22" hidden="1" x14ac:dyDescent="0.2">
      <c r="A323" t="s">
        <v>76</v>
      </c>
      <c r="B323" t="s">
        <v>1438</v>
      </c>
      <c r="C323" t="s">
        <v>24</v>
      </c>
      <c r="D323" t="s">
        <v>1553</v>
      </c>
      <c r="E323" t="s">
        <v>26</v>
      </c>
      <c r="F323" t="s">
        <v>77</v>
      </c>
      <c r="G323" t="s">
        <v>28</v>
      </c>
      <c r="H323">
        <v>1</v>
      </c>
      <c r="I323" s="1" t="s">
        <v>1582</v>
      </c>
      <c r="J323" s="1" t="s">
        <v>1595</v>
      </c>
      <c r="K323">
        <v>1065</v>
      </c>
      <c r="L323">
        <v>613</v>
      </c>
      <c r="M323">
        <v>139</v>
      </c>
      <c r="N323">
        <v>84</v>
      </c>
      <c r="O323" s="2" t="s">
        <v>1596</v>
      </c>
      <c r="P323">
        <v>1</v>
      </c>
      <c r="Q323" t="s">
        <v>1597</v>
      </c>
      <c r="R323">
        <v>1</v>
      </c>
      <c r="S323" t="s">
        <v>1598</v>
      </c>
      <c r="T323">
        <v>1</v>
      </c>
      <c r="U323" t="s">
        <v>1599</v>
      </c>
      <c r="V323" t="s">
        <v>1560</v>
      </c>
    </row>
    <row r="324" spans="1:22" hidden="1" x14ac:dyDescent="0.2">
      <c r="A324" t="s">
        <v>76</v>
      </c>
      <c r="B324" t="s">
        <v>1438</v>
      </c>
      <c r="C324" t="s">
        <v>24</v>
      </c>
      <c r="D324" t="s">
        <v>1553</v>
      </c>
      <c r="E324" t="s">
        <v>26</v>
      </c>
      <c r="F324" t="s">
        <v>77</v>
      </c>
      <c r="G324" t="s">
        <v>28</v>
      </c>
      <c r="H324">
        <v>2</v>
      </c>
      <c r="I324" s="1" t="s">
        <v>1582</v>
      </c>
      <c r="J324" s="1" t="s">
        <v>1600</v>
      </c>
      <c r="K324">
        <v>1065</v>
      </c>
      <c r="L324">
        <v>613</v>
      </c>
      <c r="M324">
        <v>156</v>
      </c>
      <c r="N324">
        <v>97</v>
      </c>
      <c r="O324" s="2" t="s">
        <v>1601</v>
      </c>
      <c r="P324">
        <v>1</v>
      </c>
      <c r="Q324" t="s">
        <v>1602</v>
      </c>
      <c r="R324">
        <v>1</v>
      </c>
      <c r="S324" t="s">
        <v>1603</v>
      </c>
      <c r="T324">
        <v>1</v>
      </c>
      <c r="U324" t="s">
        <v>1604</v>
      </c>
      <c r="V324" t="s">
        <v>1560</v>
      </c>
    </row>
    <row r="325" spans="1:22" hidden="1" x14ac:dyDescent="0.2">
      <c r="A325" t="s">
        <v>76</v>
      </c>
      <c r="B325" t="s">
        <v>1438</v>
      </c>
      <c r="C325" t="s">
        <v>24</v>
      </c>
      <c r="D325" t="s">
        <v>1553</v>
      </c>
      <c r="E325" t="s">
        <v>26</v>
      </c>
      <c r="F325" t="s">
        <v>77</v>
      </c>
      <c r="G325" t="s">
        <v>28</v>
      </c>
      <c r="H325">
        <v>3</v>
      </c>
      <c r="I325" s="1" t="s">
        <v>1582</v>
      </c>
      <c r="J325" s="1" t="s">
        <v>1605</v>
      </c>
      <c r="K325">
        <v>1065</v>
      </c>
      <c r="L325">
        <v>613</v>
      </c>
      <c r="M325">
        <v>152</v>
      </c>
      <c r="N325">
        <v>95</v>
      </c>
      <c r="O325" s="2" t="s">
        <v>1606</v>
      </c>
      <c r="P325">
        <v>1</v>
      </c>
      <c r="Q325" t="s">
        <v>1607</v>
      </c>
      <c r="R325">
        <v>1</v>
      </c>
      <c r="S325" t="s">
        <v>1608</v>
      </c>
      <c r="T325">
        <v>1</v>
      </c>
      <c r="U325" t="s">
        <v>1609</v>
      </c>
      <c r="V325" t="s">
        <v>1560</v>
      </c>
    </row>
    <row r="326" spans="1:22" hidden="1" x14ac:dyDescent="0.2">
      <c r="A326" t="s">
        <v>93</v>
      </c>
      <c r="B326" t="s">
        <v>1438</v>
      </c>
      <c r="C326" t="s">
        <v>24</v>
      </c>
      <c r="D326" t="s">
        <v>1553</v>
      </c>
      <c r="E326" t="s">
        <v>26</v>
      </c>
      <c r="F326" t="s">
        <v>94</v>
      </c>
      <c r="G326" t="s">
        <v>28</v>
      </c>
      <c r="H326">
        <v>1</v>
      </c>
      <c r="I326" s="1" t="s">
        <v>1554</v>
      </c>
      <c r="J326" s="1" t="s">
        <v>1610</v>
      </c>
      <c r="K326">
        <v>1009</v>
      </c>
      <c r="L326">
        <v>577</v>
      </c>
      <c r="M326">
        <v>101</v>
      </c>
      <c r="N326">
        <v>68</v>
      </c>
      <c r="O326" s="2" t="s">
        <v>1611</v>
      </c>
      <c r="P326">
        <v>1</v>
      </c>
      <c r="Q326" t="s">
        <v>1612</v>
      </c>
      <c r="R326">
        <v>1</v>
      </c>
      <c r="S326" t="s">
        <v>1613</v>
      </c>
      <c r="T326">
        <v>1</v>
      </c>
      <c r="U326" t="s">
        <v>75</v>
      </c>
      <c r="V326" t="s">
        <v>1560</v>
      </c>
    </row>
    <row r="327" spans="1:22" hidden="1" x14ac:dyDescent="0.2">
      <c r="A327" t="s">
        <v>93</v>
      </c>
      <c r="B327" t="s">
        <v>1438</v>
      </c>
      <c r="C327" t="s">
        <v>24</v>
      </c>
      <c r="D327" t="s">
        <v>1553</v>
      </c>
      <c r="E327" t="s">
        <v>26</v>
      </c>
      <c r="F327" t="s">
        <v>94</v>
      </c>
      <c r="G327" t="s">
        <v>28</v>
      </c>
      <c r="H327">
        <v>2</v>
      </c>
      <c r="I327" s="1" t="s">
        <v>1554</v>
      </c>
      <c r="J327" s="1" t="s">
        <v>1614</v>
      </c>
      <c r="K327">
        <v>1009</v>
      </c>
      <c r="L327">
        <v>577</v>
      </c>
      <c r="M327">
        <v>86</v>
      </c>
      <c r="N327">
        <v>53</v>
      </c>
      <c r="O327" s="2" t="s">
        <v>1615</v>
      </c>
      <c r="P327">
        <v>1</v>
      </c>
      <c r="Q327" t="s">
        <v>1616</v>
      </c>
      <c r="R327">
        <v>1</v>
      </c>
      <c r="S327" t="s">
        <v>1617</v>
      </c>
      <c r="T327">
        <v>1</v>
      </c>
      <c r="U327" t="s">
        <v>1618</v>
      </c>
      <c r="V327" t="s">
        <v>1560</v>
      </c>
    </row>
    <row r="328" spans="1:22" hidden="1" x14ac:dyDescent="0.2">
      <c r="A328" t="s">
        <v>93</v>
      </c>
      <c r="B328" t="s">
        <v>1438</v>
      </c>
      <c r="C328" t="s">
        <v>24</v>
      </c>
      <c r="D328" t="s">
        <v>1553</v>
      </c>
      <c r="E328" t="s">
        <v>26</v>
      </c>
      <c r="F328" t="s">
        <v>94</v>
      </c>
      <c r="G328" t="s">
        <v>28</v>
      </c>
      <c r="H328">
        <v>3</v>
      </c>
      <c r="I328" s="1" t="s">
        <v>1554</v>
      </c>
      <c r="J328" s="1" t="s">
        <v>1619</v>
      </c>
      <c r="K328">
        <v>1009</v>
      </c>
      <c r="L328">
        <v>577</v>
      </c>
      <c r="M328">
        <v>85</v>
      </c>
      <c r="N328">
        <v>51</v>
      </c>
      <c r="O328" s="2" t="s">
        <v>1620</v>
      </c>
      <c r="P328">
        <v>1</v>
      </c>
      <c r="Q328" t="s">
        <v>1621</v>
      </c>
      <c r="R328">
        <v>1</v>
      </c>
      <c r="S328" t="s">
        <v>1622</v>
      </c>
      <c r="T328">
        <v>1</v>
      </c>
      <c r="U328" t="s">
        <v>1623</v>
      </c>
      <c r="V328" t="s">
        <v>1560</v>
      </c>
    </row>
    <row r="329" spans="1:22" hidden="1" x14ac:dyDescent="0.2">
      <c r="A329" t="s">
        <v>93</v>
      </c>
      <c r="B329" t="s">
        <v>1438</v>
      </c>
      <c r="C329" t="s">
        <v>24</v>
      </c>
      <c r="D329" t="s">
        <v>1553</v>
      </c>
      <c r="E329" t="s">
        <v>26</v>
      </c>
      <c r="F329" t="s">
        <v>110</v>
      </c>
      <c r="G329" t="s">
        <v>28</v>
      </c>
      <c r="H329">
        <v>1</v>
      </c>
      <c r="I329" s="1" t="s">
        <v>1570</v>
      </c>
      <c r="J329" s="1" t="s">
        <v>1624</v>
      </c>
      <c r="K329">
        <v>1034</v>
      </c>
      <c r="L329">
        <v>591</v>
      </c>
      <c r="M329">
        <v>164</v>
      </c>
      <c r="N329">
        <v>106</v>
      </c>
      <c r="O329" s="2" t="s">
        <v>1625</v>
      </c>
      <c r="P329">
        <v>1</v>
      </c>
      <c r="Q329" t="s">
        <v>1626</v>
      </c>
      <c r="R329">
        <v>1</v>
      </c>
      <c r="S329" t="s">
        <v>1627</v>
      </c>
      <c r="T329">
        <v>1</v>
      </c>
      <c r="U329" t="s">
        <v>1628</v>
      </c>
      <c r="V329" t="s">
        <v>1560</v>
      </c>
    </row>
    <row r="330" spans="1:22" hidden="1" x14ac:dyDescent="0.2">
      <c r="A330" t="s">
        <v>93</v>
      </c>
      <c r="B330" t="s">
        <v>1438</v>
      </c>
      <c r="C330" t="s">
        <v>24</v>
      </c>
      <c r="D330" t="s">
        <v>1553</v>
      </c>
      <c r="E330" t="s">
        <v>26</v>
      </c>
      <c r="F330" t="s">
        <v>110</v>
      </c>
      <c r="G330" t="s">
        <v>28</v>
      </c>
      <c r="H330">
        <v>2</v>
      </c>
      <c r="I330" s="1" t="s">
        <v>1570</v>
      </c>
      <c r="J330" s="1" t="s">
        <v>1629</v>
      </c>
      <c r="K330">
        <v>1034</v>
      </c>
      <c r="L330">
        <v>591</v>
      </c>
      <c r="M330">
        <v>164</v>
      </c>
      <c r="N330">
        <v>113</v>
      </c>
      <c r="O330" s="2" t="s">
        <v>1630</v>
      </c>
      <c r="P330">
        <v>1</v>
      </c>
      <c r="Q330" t="s">
        <v>1631</v>
      </c>
      <c r="R330">
        <v>1</v>
      </c>
      <c r="S330" t="s">
        <v>1632</v>
      </c>
      <c r="T330">
        <v>1</v>
      </c>
      <c r="U330" t="s">
        <v>454</v>
      </c>
      <c r="V330" t="s">
        <v>1560</v>
      </c>
    </row>
    <row r="331" spans="1:22" hidden="1" x14ac:dyDescent="0.2">
      <c r="A331" t="s">
        <v>93</v>
      </c>
      <c r="B331" t="s">
        <v>1438</v>
      </c>
      <c r="C331" t="s">
        <v>24</v>
      </c>
      <c r="D331" t="s">
        <v>1553</v>
      </c>
      <c r="E331" t="s">
        <v>26</v>
      </c>
      <c r="F331" t="s">
        <v>110</v>
      </c>
      <c r="G331" t="s">
        <v>28</v>
      </c>
      <c r="H331">
        <v>3</v>
      </c>
      <c r="I331" s="1" t="s">
        <v>1570</v>
      </c>
      <c r="J331" s="1" t="s">
        <v>1633</v>
      </c>
      <c r="K331">
        <v>1034</v>
      </c>
      <c r="L331">
        <v>591</v>
      </c>
      <c r="M331">
        <v>137</v>
      </c>
      <c r="N331">
        <v>89</v>
      </c>
      <c r="O331" s="2" t="s">
        <v>1634</v>
      </c>
      <c r="P331">
        <v>1</v>
      </c>
      <c r="Q331" t="s">
        <v>1635</v>
      </c>
      <c r="R331">
        <v>1</v>
      </c>
      <c r="S331" t="s">
        <v>1636</v>
      </c>
      <c r="T331">
        <v>1</v>
      </c>
      <c r="U331" t="s">
        <v>1637</v>
      </c>
      <c r="V331" t="s">
        <v>1560</v>
      </c>
    </row>
    <row r="332" spans="1:22" hidden="1" x14ac:dyDescent="0.2">
      <c r="A332" t="s">
        <v>93</v>
      </c>
      <c r="B332" t="s">
        <v>1438</v>
      </c>
      <c r="C332" t="s">
        <v>24</v>
      </c>
      <c r="D332" t="s">
        <v>1553</v>
      </c>
      <c r="E332" t="s">
        <v>26</v>
      </c>
      <c r="F332" t="s">
        <v>125</v>
      </c>
      <c r="G332" t="s">
        <v>28</v>
      </c>
      <c r="H332">
        <v>1</v>
      </c>
      <c r="I332" s="1" t="s">
        <v>1582</v>
      </c>
      <c r="J332" s="1" t="s">
        <v>1638</v>
      </c>
      <c r="K332">
        <v>1065</v>
      </c>
      <c r="L332">
        <v>613</v>
      </c>
      <c r="M332">
        <v>178</v>
      </c>
      <c r="N332">
        <v>123</v>
      </c>
      <c r="O332" s="2" t="s">
        <v>1639</v>
      </c>
      <c r="P332">
        <v>1</v>
      </c>
      <c r="Q332" t="s">
        <v>1640</v>
      </c>
      <c r="R332">
        <v>1</v>
      </c>
      <c r="S332" t="s">
        <v>1641</v>
      </c>
      <c r="T332">
        <v>1</v>
      </c>
      <c r="U332" t="s">
        <v>1642</v>
      </c>
      <c r="V332" t="s">
        <v>1560</v>
      </c>
    </row>
    <row r="333" spans="1:22" hidden="1" x14ac:dyDescent="0.2">
      <c r="A333" t="s">
        <v>93</v>
      </c>
      <c r="B333" t="s">
        <v>1438</v>
      </c>
      <c r="C333" t="s">
        <v>24</v>
      </c>
      <c r="D333" t="s">
        <v>1553</v>
      </c>
      <c r="E333" t="s">
        <v>26</v>
      </c>
      <c r="F333" t="s">
        <v>125</v>
      </c>
      <c r="G333" t="s">
        <v>28</v>
      </c>
      <c r="H333">
        <v>2</v>
      </c>
      <c r="I333" s="1" t="s">
        <v>1582</v>
      </c>
      <c r="J333" s="1" t="s">
        <v>1643</v>
      </c>
      <c r="K333">
        <v>1065</v>
      </c>
      <c r="L333">
        <v>613</v>
      </c>
      <c r="M333">
        <v>145</v>
      </c>
      <c r="N333">
        <v>87</v>
      </c>
      <c r="O333" s="2" t="s">
        <v>1644</v>
      </c>
      <c r="P333">
        <v>1</v>
      </c>
      <c r="Q333" t="s">
        <v>1645</v>
      </c>
      <c r="R333">
        <v>1</v>
      </c>
      <c r="S333" t="s">
        <v>1646</v>
      </c>
      <c r="T333">
        <v>1</v>
      </c>
      <c r="U333" t="s">
        <v>1647</v>
      </c>
      <c r="V333" t="s">
        <v>1560</v>
      </c>
    </row>
    <row r="334" spans="1:22" hidden="1" x14ac:dyDescent="0.2">
      <c r="A334" t="s">
        <v>93</v>
      </c>
      <c r="B334" t="s">
        <v>1438</v>
      </c>
      <c r="C334" t="s">
        <v>24</v>
      </c>
      <c r="D334" t="s">
        <v>1553</v>
      </c>
      <c r="E334" t="s">
        <v>26</v>
      </c>
      <c r="F334" t="s">
        <v>125</v>
      </c>
      <c r="G334" t="s">
        <v>28</v>
      </c>
      <c r="H334">
        <v>3</v>
      </c>
      <c r="I334" s="1" t="s">
        <v>1582</v>
      </c>
      <c r="J334" s="1" t="s">
        <v>1648</v>
      </c>
      <c r="K334">
        <v>1065</v>
      </c>
      <c r="L334">
        <v>613</v>
      </c>
      <c r="M334">
        <v>165</v>
      </c>
      <c r="N334">
        <v>104</v>
      </c>
      <c r="O334" s="2" t="s">
        <v>1649</v>
      </c>
      <c r="P334">
        <v>1</v>
      </c>
      <c r="Q334" t="s">
        <v>1650</v>
      </c>
      <c r="R334">
        <v>1</v>
      </c>
      <c r="S334" t="s">
        <v>1651</v>
      </c>
      <c r="T334">
        <v>1</v>
      </c>
      <c r="U334" t="s">
        <v>1652</v>
      </c>
      <c r="V334" t="s">
        <v>1560</v>
      </c>
    </row>
    <row r="335" spans="1:22" hidden="1" x14ac:dyDescent="0.2">
      <c r="A335" t="s">
        <v>140</v>
      </c>
      <c r="B335" t="s">
        <v>1438</v>
      </c>
      <c r="C335" t="s">
        <v>24</v>
      </c>
      <c r="D335" t="s">
        <v>1553</v>
      </c>
      <c r="E335" t="s">
        <v>26</v>
      </c>
      <c r="F335" t="s">
        <v>141</v>
      </c>
      <c r="G335" t="s">
        <v>28</v>
      </c>
      <c r="H335">
        <v>1</v>
      </c>
      <c r="I335" s="1" t="s">
        <v>1653</v>
      </c>
      <c r="J335" t="s">
        <v>1654</v>
      </c>
      <c r="K335">
        <v>973</v>
      </c>
      <c r="L335">
        <v>562</v>
      </c>
      <c r="M335">
        <v>354</v>
      </c>
      <c r="N335">
        <v>18</v>
      </c>
      <c r="O335" s="2" t="s">
        <v>1655</v>
      </c>
      <c r="P335">
        <v>1</v>
      </c>
      <c r="Q335" t="s">
        <v>1656</v>
      </c>
      <c r="R335">
        <v>1</v>
      </c>
      <c r="S335" t="s">
        <v>1657</v>
      </c>
      <c r="T335">
        <v>1</v>
      </c>
      <c r="U335" t="s">
        <v>1658</v>
      </c>
      <c r="V335" t="s">
        <v>1560</v>
      </c>
    </row>
    <row r="336" spans="1:22" hidden="1" x14ac:dyDescent="0.2">
      <c r="A336" t="s">
        <v>140</v>
      </c>
      <c r="B336" t="s">
        <v>1438</v>
      </c>
      <c r="C336" t="s">
        <v>24</v>
      </c>
      <c r="D336" t="s">
        <v>1553</v>
      </c>
      <c r="E336" t="s">
        <v>26</v>
      </c>
      <c r="F336" t="s">
        <v>141</v>
      </c>
      <c r="G336" t="s">
        <v>28</v>
      </c>
      <c r="H336">
        <v>2</v>
      </c>
      <c r="I336" s="1" t="s">
        <v>1653</v>
      </c>
      <c r="J336" t="s">
        <v>1659</v>
      </c>
      <c r="K336">
        <v>973</v>
      </c>
      <c r="L336">
        <v>562</v>
      </c>
      <c r="M336">
        <v>419</v>
      </c>
      <c r="N336">
        <v>19</v>
      </c>
      <c r="O336" s="2" t="s">
        <v>1660</v>
      </c>
      <c r="P336">
        <v>1</v>
      </c>
      <c r="Q336" t="s">
        <v>1661</v>
      </c>
      <c r="R336">
        <v>1</v>
      </c>
      <c r="S336" t="s">
        <v>1662</v>
      </c>
      <c r="T336">
        <v>1</v>
      </c>
      <c r="U336" t="s">
        <v>1663</v>
      </c>
      <c r="V336" t="s">
        <v>1560</v>
      </c>
    </row>
    <row r="337" spans="1:22" hidden="1" x14ac:dyDescent="0.2">
      <c r="A337" t="s">
        <v>140</v>
      </c>
      <c r="B337" t="s">
        <v>1438</v>
      </c>
      <c r="C337" t="s">
        <v>24</v>
      </c>
      <c r="D337" t="s">
        <v>1553</v>
      </c>
      <c r="E337" t="s">
        <v>26</v>
      </c>
      <c r="F337" t="s">
        <v>141</v>
      </c>
      <c r="G337" t="s">
        <v>28</v>
      </c>
      <c r="H337">
        <v>3</v>
      </c>
      <c r="I337" s="1" t="s">
        <v>1653</v>
      </c>
      <c r="J337" t="s">
        <v>1664</v>
      </c>
      <c r="K337">
        <v>973</v>
      </c>
      <c r="L337">
        <v>562</v>
      </c>
      <c r="M337">
        <v>294</v>
      </c>
      <c r="N337">
        <v>21</v>
      </c>
      <c r="O337" s="2" t="s">
        <v>1665</v>
      </c>
      <c r="P337">
        <v>1</v>
      </c>
      <c r="Q337" t="s">
        <v>1666</v>
      </c>
      <c r="R337">
        <v>1</v>
      </c>
      <c r="S337" t="s">
        <v>1667</v>
      </c>
      <c r="T337">
        <v>1</v>
      </c>
      <c r="U337" t="s">
        <v>1668</v>
      </c>
      <c r="V337" t="s">
        <v>1560</v>
      </c>
    </row>
    <row r="338" spans="1:22" hidden="1" x14ac:dyDescent="0.2">
      <c r="A338" t="s">
        <v>22</v>
      </c>
      <c r="B338" t="s">
        <v>1438</v>
      </c>
      <c r="C338" t="s">
        <v>24</v>
      </c>
      <c r="D338" t="s">
        <v>1669</v>
      </c>
      <c r="E338" t="s">
        <v>26</v>
      </c>
      <c r="F338" t="s">
        <v>27</v>
      </c>
      <c r="G338" t="s">
        <v>28</v>
      </c>
      <c r="H338">
        <v>1</v>
      </c>
      <c r="I338" s="1" t="s">
        <v>1670</v>
      </c>
      <c r="J338" s="1" t="s">
        <v>1671</v>
      </c>
      <c r="K338">
        <v>1108</v>
      </c>
      <c r="L338">
        <v>558</v>
      </c>
      <c r="M338">
        <v>111</v>
      </c>
      <c r="N338">
        <v>66</v>
      </c>
      <c r="O338" s="2" t="s">
        <v>1672</v>
      </c>
      <c r="P338">
        <v>1</v>
      </c>
      <c r="Q338" t="s">
        <v>1673</v>
      </c>
      <c r="R338">
        <v>1</v>
      </c>
      <c r="S338" t="s">
        <v>1674</v>
      </c>
      <c r="T338">
        <v>1</v>
      </c>
      <c r="U338" t="s">
        <v>1675</v>
      </c>
      <c r="V338" t="s">
        <v>1676</v>
      </c>
    </row>
    <row r="339" spans="1:22" hidden="1" x14ac:dyDescent="0.2">
      <c r="A339" t="s">
        <v>22</v>
      </c>
      <c r="B339" t="s">
        <v>1438</v>
      </c>
      <c r="C339" t="s">
        <v>24</v>
      </c>
      <c r="D339" t="s">
        <v>1669</v>
      </c>
      <c r="E339" t="s">
        <v>26</v>
      </c>
      <c r="F339" t="s">
        <v>27</v>
      </c>
      <c r="G339" t="s">
        <v>28</v>
      </c>
      <c r="H339">
        <v>2</v>
      </c>
      <c r="I339" s="1" t="s">
        <v>1670</v>
      </c>
      <c r="J339" s="1" t="s">
        <v>1677</v>
      </c>
      <c r="K339">
        <v>1108</v>
      </c>
      <c r="L339">
        <v>558</v>
      </c>
      <c r="M339">
        <v>138</v>
      </c>
      <c r="N339">
        <v>91</v>
      </c>
      <c r="O339" s="2" t="s">
        <v>1678</v>
      </c>
      <c r="P339">
        <v>1</v>
      </c>
      <c r="Q339" t="s">
        <v>1679</v>
      </c>
      <c r="R339">
        <v>1</v>
      </c>
      <c r="S339" t="s">
        <v>1680</v>
      </c>
      <c r="T339">
        <v>1</v>
      </c>
      <c r="U339" t="s">
        <v>775</v>
      </c>
      <c r="V339" t="s">
        <v>1676</v>
      </c>
    </row>
    <row r="340" spans="1:22" hidden="1" x14ac:dyDescent="0.2">
      <c r="A340" t="s">
        <v>22</v>
      </c>
      <c r="B340" t="s">
        <v>1438</v>
      </c>
      <c r="C340" t="s">
        <v>24</v>
      </c>
      <c r="D340" t="s">
        <v>1669</v>
      </c>
      <c r="E340" t="s">
        <v>26</v>
      </c>
      <c r="F340" t="s">
        <v>27</v>
      </c>
      <c r="G340" t="s">
        <v>28</v>
      </c>
      <c r="H340">
        <v>3</v>
      </c>
      <c r="I340" s="1" t="s">
        <v>1670</v>
      </c>
      <c r="J340" s="1" t="s">
        <v>1681</v>
      </c>
      <c r="K340">
        <v>1108</v>
      </c>
      <c r="L340">
        <v>558</v>
      </c>
      <c r="M340">
        <v>124</v>
      </c>
      <c r="N340">
        <v>76</v>
      </c>
      <c r="O340" s="2" t="s">
        <v>1682</v>
      </c>
      <c r="P340">
        <v>1</v>
      </c>
      <c r="Q340" t="s">
        <v>1683</v>
      </c>
      <c r="R340">
        <v>1</v>
      </c>
      <c r="S340" t="s">
        <v>1684</v>
      </c>
      <c r="T340">
        <v>1</v>
      </c>
      <c r="U340" t="s">
        <v>616</v>
      </c>
      <c r="V340" t="s">
        <v>1676</v>
      </c>
    </row>
    <row r="341" spans="1:22" hidden="1" x14ac:dyDescent="0.2">
      <c r="A341" t="s">
        <v>22</v>
      </c>
      <c r="B341" t="s">
        <v>1438</v>
      </c>
      <c r="C341" t="s">
        <v>24</v>
      </c>
      <c r="D341" t="s">
        <v>1669</v>
      </c>
      <c r="E341" t="s">
        <v>26</v>
      </c>
      <c r="F341" t="s">
        <v>46</v>
      </c>
      <c r="G341" t="s">
        <v>28</v>
      </c>
      <c r="H341">
        <v>1</v>
      </c>
      <c r="I341" s="1" t="s">
        <v>1685</v>
      </c>
      <c r="J341" s="1" t="s">
        <v>1686</v>
      </c>
      <c r="K341">
        <v>1136</v>
      </c>
      <c r="L341">
        <v>572</v>
      </c>
      <c r="M341">
        <v>205</v>
      </c>
      <c r="N341">
        <v>134</v>
      </c>
      <c r="O341" s="2" t="s">
        <v>1687</v>
      </c>
      <c r="P341">
        <v>1</v>
      </c>
      <c r="Q341" t="s">
        <v>1688</v>
      </c>
      <c r="R341">
        <v>1</v>
      </c>
      <c r="S341" t="s">
        <v>1689</v>
      </c>
      <c r="T341">
        <v>1</v>
      </c>
      <c r="U341" t="s">
        <v>1690</v>
      </c>
      <c r="V341" t="s">
        <v>1676</v>
      </c>
    </row>
    <row r="342" spans="1:22" hidden="1" x14ac:dyDescent="0.2">
      <c r="A342" t="s">
        <v>22</v>
      </c>
      <c r="B342" t="s">
        <v>1438</v>
      </c>
      <c r="C342" t="s">
        <v>24</v>
      </c>
      <c r="D342" t="s">
        <v>1669</v>
      </c>
      <c r="E342" t="s">
        <v>26</v>
      </c>
      <c r="F342" t="s">
        <v>46</v>
      </c>
      <c r="G342" t="s">
        <v>28</v>
      </c>
      <c r="H342">
        <v>2</v>
      </c>
      <c r="I342" s="1" t="s">
        <v>1685</v>
      </c>
      <c r="J342" s="1" t="s">
        <v>1691</v>
      </c>
      <c r="K342">
        <v>1136</v>
      </c>
      <c r="L342">
        <v>572</v>
      </c>
      <c r="M342">
        <v>213</v>
      </c>
      <c r="N342">
        <v>144</v>
      </c>
      <c r="O342" s="2" t="s">
        <v>1692</v>
      </c>
      <c r="P342">
        <v>1</v>
      </c>
      <c r="Q342" t="s">
        <v>1693</v>
      </c>
      <c r="R342">
        <v>1</v>
      </c>
      <c r="S342" t="s">
        <v>1694</v>
      </c>
      <c r="T342">
        <v>1</v>
      </c>
      <c r="U342" t="s">
        <v>82</v>
      </c>
      <c r="V342" t="s">
        <v>1676</v>
      </c>
    </row>
    <row r="343" spans="1:22" hidden="1" x14ac:dyDescent="0.2">
      <c r="A343" t="s">
        <v>22</v>
      </c>
      <c r="B343" t="s">
        <v>1438</v>
      </c>
      <c r="C343" t="s">
        <v>24</v>
      </c>
      <c r="D343" t="s">
        <v>1669</v>
      </c>
      <c r="E343" t="s">
        <v>26</v>
      </c>
      <c r="F343" t="s">
        <v>46</v>
      </c>
      <c r="G343" t="s">
        <v>28</v>
      </c>
      <c r="H343">
        <v>3</v>
      </c>
      <c r="I343" s="1" t="s">
        <v>1685</v>
      </c>
      <c r="J343" s="1" t="s">
        <v>1695</v>
      </c>
      <c r="K343">
        <v>1136</v>
      </c>
      <c r="L343">
        <v>572</v>
      </c>
      <c r="M343">
        <v>202</v>
      </c>
      <c r="N343">
        <v>136</v>
      </c>
      <c r="O343" s="2" t="s">
        <v>1696</v>
      </c>
      <c r="P343">
        <v>1</v>
      </c>
      <c r="Q343" t="s">
        <v>1697</v>
      </c>
      <c r="R343">
        <v>1</v>
      </c>
      <c r="S343" t="s">
        <v>1698</v>
      </c>
      <c r="T343">
        <v>1</v>
      </c>
      <c r="U343" t="s">
        <v>109</v>
      </c>
      <c r="V343" t="s">
        <v>1676</v>
      </c>
    </row>
    <row r="344" spans="1:22" hidden="1" x14ac:dyDescent="0.2">
      <c r="A344" t="s">
        <v>22</v>
      </c>
      <c r="B344" t="s">
        <v>1438</v>
      </c>
      <c r="C344" t="s">
        <v>24</v>
      </c>
      <c r="D344" t="s">
        <v>1669</v>
      </c>
      <c r="E344" t="s">
        <v>26</v>
      </c>
      <c r="F344" t="s">
        <v>61</v>
      </c>
      <c r="G344" t="s">
        <v>28</v>
      </c>
      <c r="H344">
        <v>1</v>
      </c>
      <c r="I344" s="1" t="s">
        <v>1699</v>
      </c>
      <c r="J344" s="1" t="s">
        <v>1700</v>
      </c>
      <c r="K344">
        <v>1171</v>
      </c>
      <c r="L344">
        <v>594</v>
      </c>
      <c r="M344">
        <v>218</v>
      </c>
      <c r="N344">
        <v>136</v>
      </c>
      <c r="O344" s="2" t="s">
        <v>1701</v>
      </c>
      <c r="P344">
        <v>1</v>
      </c>
      <c r="Q344" t="s">
        <v>1702</v>
      </c>
      <c r="R344">
        <v>1</v>
      </c>
      <c r="S344" t="s">
        <v>1703</v>
      </c>
      <c r="T344">
        <v>1</v>
      </c>
      <c r="U344" t="s">
        <v>1704</v>
      </c>
      <c r="V344" t="s">
        <v>1676</v>
      </c>
    </row>
    <row r="345" spans="1:22" hidden="1" x14ac:dyDescent="0.2">
      <c r="A345" t="s">
        <v>22</v>
      </c>
      <c r="B345" t="s">
        <v>1438</v>
      </c>
      <c r="C345" t="s">
        <v>24</v>
      </c>
      <c r="D345" t="s">
        <v>1669</v>
      </c>
      <c r="E345" t="s">
        <v>26</v>
      </c>
      <c r="F345" t="s">
        <v>61</v>
      </c>
      <c r="G345" t="s">
        <v>28</v>
      </c>
      <c r="H345">
        <v>2</v>
      </c>
      <c r="I345" s="1" t="s">
        <v>1699</v>
      </c>
      <c r="J345" s="1" t="s">
        <v>1705</v>
      </c>
      <c r="K345">
        <v>1171</v>
      </c>
      <c r="L345">
        <v>594</v>
      </c>
      <c r="M345">
        <v>209</v>
      </c>
      <c r="N345">
        <v>125</v>
      </c>
      <c r="O345">
        <v>4.4627819061279297</v>
      </c>
      <c r="P345">
        <v>1</v>
      </c>
      <c r="Q345" t="s">
        <v>1706</v>
      </c>
      <c r="R345">
        <v>1</v>
      </c>
      <c r="S345" t="s">
        <v>1707</v>
      </c>
      <c r="T345">
        <v>1</v>
      </c>
      <c r="U345" t="s">
        <v>1708</v>
      </c>
      <c r="V345" t="s">
        <v>1676</v>
      </c>
    </row>
    <row r="346" spans="1:22" hidden="1" x14ac:dyDescent="0.2">
      <c r="A346" t="s">
        <v>22</v>
      </c>
      <c r="B346" t="s">
        <v>1438</v>
      </c>
      <c r="C346" t="s">
        <v>24</v>
      </c>
      <c r="D346" t="s">
        <v>1669</v>
      </c>
      <c r="E346" t="s">
        <v>26</v>
      </c>
      <c r="F346" t="s">
        <v>61</v>
      </c>
      <c r="G346" t="s">
        <v>28</v>
      </c>
      <c r="H346">
        <v>3</v>
      </c>
      <c r="I346" s="1" t="s">
        <v>1699</v>
      </c>
      <c r="J346" s="1" t="s">
        <v>1709</v>
      </c>
      <c r="K346">
        <v>1171</v>
      </c>
      <c r="L346">
        <v>594</v>
      </c>
      <c r="M346">
        <v>200</v>
      </c>
      <c r="N346">
        <v>123</v>
      </c>
      <c r="O346" s="2" t="s">
        <v>1710</v>
      </c>
      <c r="P346">
        <v>1</v>
      </c>
      <c r="Q346" t="s">
        <v>1711</v>
      </c>
      <c r="R346">
        <v>1</v>
      </c>
      <c r="S346" t="s">
        <v>1712</v>
      </c>
      <c r="T346">
        <v>1</v>
      </c>
      <c r="U346" t="s">
        <v>1713</v>
      </c>
      <c r="V346" t="s">
        <v>1676</v>
      </c>
    </row>
    <row r="347" spans="1:22" hidden="1" x14ac:dyDescent="0.2">
      <c r="A347" t="s">
        <v>76</v>
      </c>
      <c r="B347" t="s">
        <v>1438</v>
      </c>
      <c r="C347" t="s">
        <v>24</v>
      </c>
      <c r="D347" t="s">
        <v>1669</v>
      </c>
      <c r="E347" t="s">
        <v>26</v>
      </c>
      <c r="F347" t="s">
        <v>77</v>
      </c>
      <c r="G347" t="s">
        <v>28</v>
      </c>
      <c r="H347">
        <v>1</v>
      </c>
      <c r="I347" s="1" t="s">
        <v>1699</v>
      </c>
      <c r="J347" s="1" t="s">
        <v>1714</v>
      </c>
      <c r="K347">
        <v>1032</v>
      </c>
      <c r="L347">
        <v>594</v>
      </c>
      <c r="M347">
        <v>153</v>
      </c>
      <c r="N347">
        <v>100</v>
      </c>
      <c r="O347" s="2" t="s">
        <v>1715</v>
      </c>
      <c r="P347">
        <v>1</v>
      </c>
      <c r="Q347" t="s">
        <v>1716</v>
      </c>
      <c r="R347">
        <v>1</v>
      </c>
      <c r="S347" t="s">
        <v>1717</v>
      </c>
      <c r="T347">
        <v>1</v>
      </c>
      <c r="U347" t="s">
        <v>1718</v>
      </c>
      <c r="V347" t="s">
        <v>1676</v>
      </c>
    </row>
    <row r="348" spans="1:22" hidden="1" x14ac:dyDescent="0.2">
      <c r="A348" t="s">
        <v>76</v>
      </c>
      <c r="B348" t="s">
        <v>1438</v>
      </c>
      <c r="C348" t="s">
        <v>24</v>
      </c>
      <c r="D348" t="s">
        <v>1669</v>
      </c>
      <c r="E348" t="s">
        <v>26</v>
      </c>
      <c r="F348" t="s">
        <v>77</v>
      </c>
      <c r="G348" t="s">
        <v>28</v>
      </c>
      <c r="H348">
        <v>2</v>
      </c>
      <c r="I348" s="1" t="s">
        <v>1699</v>
      </c>
      <c r="J348" s="1" t="s">
        <v>1719</v>
      </c>
      <c r="K348">
        <v>1032</v>
      </c>
      <c r="L348">
        <v>594</v>
      </c>
      <c r="M348">
        <v>165</v>
      </c>
      <c r="N348">
        <v>107</v>
      </c>
      <c r="O348" s="2" t="s">
        <v>1720</v>
      </c>
      <c r="P348">
        <v>1</v>
      </c>
      <c r="Q348" t="s">
        <v>1721</v>
      </c>
      <c r="R348">
        <v>1</v>
      </c>
      <c r="S348" t="s">
        <v>1722</v>
      </c>
      <c r="T348">
        <v>1</v>
      </c>
      <c r="U348" t="s">
        <v>775</v>
      </c>
      <c r="V348" t="s">
        <v>1676</v>
      </c>
    </row>
    <row r="349" spans="1:22" hidden="1" x14ac:dyDescent="0.2">
      <c r="A349" t="s">
        <v>76</v>
      </c>
      <c r="B349" t="s">
        <v>1438</v>
      </c>
      <c r="C349" t="s">
        <v>24</v>
      </c>
      <c r="D349" t="s">
        <v>1669</v>
      </c>
      <c r="E349" t="s">
        <v>26</v>
      </c>
      <c r="F349" t="s">
        <v>77</v>
      </c>
      <c r="G349" t="s">
        <v>28</v>
      </c>
      <c r="H349">
        <v>3</v>
      </c>
      <c r="I349" s="1" t="s">
        <v>1699</v>
      </c>
      <c r="J349" s="1" t="s">
        <v>1723</v>
      </c>
      <c r="K349">
        <v>1032</v>
      </c>
      <c r="L349">
        <v>594</v>
      </c>
      <c r="M349">
        <v>160</v>
      </c>
      <c r="N349">
        <v>102</v>
      </c>
      <c r="O349" s="2" t="s">
        <v>1724</v>
      </c>
      <c r="P349">
        <v>1</v>
      </c>
      <c r="Q349" t="s">
        <v>1725</v>
      </c>
      <c r="R349">
        <v>1</v>
      </c>
      <c r="S349" t="s">
        <v>1726</v>
      </c>
      <c r="T349">
        <v>1</v>
      </c>
      <c r="U349" t="s">
        <v>1727</v>
      </c>
      <c r="V349" t="s">
        <v>1676</v>
      </c>
    </row>
    <row r="350" spans="1:22" hidden="1" x14ac:dyDescent="0.2">
      <c r="A350" t="s">
        <v>93</v>
      </c>
      <c r="B350" t="s">
        <v>1438</v>
      </c>
      <c r="C350" t="s">
        <v>24</v>
      </c>
      <c r="D350" t="s">
        <v>1669</v>
      </c>
      <c r="E350" t="s">
        <v>26</v>
      </c>
      <c r="F350" t="s">
        <v>94</v>
      </c>
      <c r="G350" t="s">
        <v>28</v>
      </c>
      <c r="H350">
        <v>1</v>
      </c>
      <c r="I350" s="1" t="s">
        <v>1670</v>
      </c>
      <c r="J350" s="1" t="s">
        <v>1728</v>
      </c>
      <c r="K350">
        <v>976</v>
      </c>
      <c r="L350">
        <v>558</v>
      </c>
      <c r="M350">
        <v>111</v>
      </c>
      <c r="N350">
        <v>76</v>
      </c>
      <c r="O350" s="2" t="s">
        <v>1729</v>
      </c>
      <c r="P350">
        <v>0</v>
      </c>
      <c r="Q350" t="s">
        <v>1730</v>
      </c>
      <c r="R350">
        <v>1</v>
      </c>
      <c r="S350" t="s">
        <v>1731</v>
      </c>
      <c r="T350">
        <v>1</v>
      </c>
      <c r="U350" t="s">
        <v>227</v>
      </c>
      <c r="V350" t="s">
        <v>1676</v>
      </c>
    </row>
    <row r="351" spans="1:22" hidden="1" x14ac:dyDescent="0.2">
      <c r="A351" t="s">
        <v>93</v>
      </c>
      <c r="B351" t="s">
        <v>1438</v>
      </c>
      <c r="C351" t="s">
        <v>24</v>
      </c>
      <c r="D351" t="s">
        <v>1669</v>
      </c>
      <c r="E351" t="s">
        <v>26</v>
      </c>
      <c r="F351" t="s">
        <v>94</v>
      </c>
      <c r="G351" t="s">
        <v>28</v>
      </c>
      <c r="H351">
        <v>2</v>
      </c>
      <c r="I351" s="1" t="s">
        <v>1670</v>
      </c>
      <c r="J351" s="1" t="s">
        <v>1732</v>
      </c>
      <c r="K351">
        <v>976</v>
      </c>
      <c r="L351">
        <v>558</v>
      </c>
      <c r="M351">
        <v>94</v>
      </c>
      <c r="N351">
        <v>62</v>
      </c>
      <c r="O351" s="2" t="s">
        <v>1733</v>
      </c>
      <c r="P351">
        <v>0</v>
      </c>
      <c r="Q351" t="s">
        <v>1734</v>
      </c>
      <c r="R351">
        <v>1</v>
      </c>
      <c r="S351" t="s">
        <v>1735</v>
      </c>
      <c r="T351">
        <v>1</v>
      </c>
      <c r="U351" t="s">
        <v>1736</v>
      </c>
      <c r="V351" t="s">
        <v>1676</v>
      </c>
    </row>
    <row r="352" spans="1:22" hidden="1" x14ac:dyDescent="0.2">
      <c r="A352" t="s">
        <v>93</v>
      </c>
      <c r="B352" t="s">
        <v>1438</v>
      </c>
      <c r="C352" t="s">
        <v>24</v>
      </c>
      <c r="D352" t="s">
        <v>1669</v>
      </c>
      <c r="E352" t="s">
        <v>26</v>
      </c>
      <c r="F352" t="s">
        <v>94</v>
      </c>
      <c r="G352" t="s">
        <v>28</v>
      </c>
      <c r="H352">
        <v>3</v>
      </c>
      <c r="I352" s="1" t="s">
        <v>1670</v>
      </c>
      <c r="J352" s="1" t="s">
        <v>1737</v>
      </c>
      <c r="K352">
        <v>976</v>
      </c>
      <c r="L352">
        <v>558</v>
      </c>
      <c r="M352">
        <v>108</v>
      </c>
      <c r="N352">
        <v>73</v>
      </c>
      <c r="O352" s="2" t="s">
        <v>1738</v>
      </c>
      <c r="P352">
        <v>1</v>
      </c>
      <c r="Q352" t="s">
        <v>1739</v>
      </c>
      <c r="R352">
        <v>1</v>
      </c>
      <c r="S352" t="s">
        <v>1740</v>
      </c>
      <c r="T352">
        <v>1</v>
      </c>
      <c r="U352" t="s">
        <v>775</v>
      </c>
      <c r="V352" t="s">
        <v>1676</v>
      </c>
    </row>
    <row r="353" spans="1:22" hidden="1" x14ac:dyDescent="0.2">
      <c r="A353" t="s">
        <v>93</v>
      </c>
      <c r="B353" t="s">
        <v>1438</v>
      </c>
      <c r="C353" t="s">
        <v>24</v>
      </c>
      <c r="D353" t="s">
        <v>1669</v>
      </c>
      <c r="E353" t="s">
        <v>26</v>
      </c>
      <c r="F353" t="s">
        <v>110</v>
      </c>
      <c r="G353" t="s">
        <v>28</v>
      </c>
      <c r="H353">
        <v>1</v>
      </c>
      <c r="I353" s="1" t="s">
        <v>1685</v>
      </c>
      <c r="J353" s="1" t="s">
        <v>1741</v>
      </c>
      <c r="K353">
        <v>1001</v>
      </c>
      <c r="L353">
        <v>572</v>
      </c>
      <c r="M353">
        <v>204</v>
      </c>
      <c r="N353">
        <v>151</v>
      </c>
      <c r="O353" s="2" t="s">
        <v>1742</v>
      </c>
      <c r="P353">
        <v>1</v>
      </c>
      <c r="Q353" t="s">
        <v>1743</v>
      </c>
      <c r="R353">
        <v>1</v>
      </c>
      <c r="S353" t="s">
        <v>1744</v>
      </c>
      <c r="T353">
        <v>1</v>
      </c>
      <c r="U353" t="s">
        <v>454</v>
      </c>
      <c r="V353" t="s">
        <v>1676</v>
      </c>
    </row>
    <row r="354" spans="1:22" hidden="1" x14ac:dyDescent="0.2">
      <c r="A354" t="s">
        <v>93</v>
      </c>
      <c r="B354" t="s">
        <v>1438</v>
      </c>
      <c r="C354" t="s">
        <v>24</v>
      </c>
      <c r="D354" t="s">
        <v>1669</v>
      </c>
      <c r="E354" t="s">
        <v>26</v>
      </c>
      <c r="F354" t="s">
        <v>110</v>
      </c>
      <c r="G354" t="s">
        <v>28</v>
      </c>
      <c r="H354">
        <v>2</v>
      </c>
      <c r="I354" s="1" t="s">
        <v>1685</v>
      </c>
      <c r="J354" s="1" t="s">
        <v>1745</v>
      </c>
      <c r="K354">
        <v>1001</v>
      </c>
      <c r="L354">
        <v>572</v>
      </c>
      <c r="M354">
        <v>185</v>
      </c>
      <c r="N354">
        <v>134</v>
      </c>
      <c r="O354" s="2" t="s">
        <v>1746</v>
      </c>
      <c r="P354">
        <v>1</v>
      </c>
      <c r="Q354" t="s">
        <v>1747</v>
      </c>
      <c r="R354">
        <v>1</v>
      </c>
      <c r="S354" t="s">
        <v>1748</v>
      </c>
      <c r="T354">
        <v>1</v>
      </c>
      <c r="U354" t="s">
        <v>1749</v>
      </c>
      <c r="V354" t="s">
        <v>1676</v>
      </c>
    </row>
    <row r="355" spans="1:22" hidden="1" x14ac:dyDescent="0.2">
      <c r="A355" t="s">
        <v>93</v>
      </c>
      <c r="B355" t="s">
        <v>1438</v>
      </c>
      <c r="C355" t="s">
        <v>24</v>
      </c>
      <c r="D355" t="s">
        <v>1669</v>
      </c>
      <c r="E355" t="s">
        <v>26</v>
      </c>
      <c r="F355" t="s">
        <v>110</v>
      </c>
      <c r="G355" t="s">
        <v>28</v>
      </c>
      <c r="H355">
        <v>3</v>
      </c>
      <c r="I355" s="1" t="s">
        <v>1685</v>
      </c>
      <c r="J355" s="1" t="s">
        <v>1750</v>
      </c>
      <c r="K355">
        <v>1001</v>
      </c>
      <c r="L355">
        <v>572</v>
      </c>
      <c r="M355">
        <v>161</v>
      </c>
      <c r="N355">
        <v>111</v>
      </c>
      <c r="O355" s="2" t="s">
        <v>1751</v>
      </c>
      <c r="P355">
        <v>1</v>
      </c>
      <c r="Q355" t="s">
        <v>1752</v>
      </c>
      <c r="R355">
        <v>1</v>
      </c>
      <c r="S355" t="s">
        <v>1753</v>
      </c>
      <c r="T355">
        <v>1</v>
      </c>
      <c r="U355" t="s">
        <v>109</v>
      </c>
      <c r="V355" t="s">
        <v>1676</v>
      </c>
    </row>
    <row r="356" spans="1:22" hidden="1" x14ac:dyDescent="0.2">
      <c r="A356" t="s">
        <v>93</v>
      </c>
      <c r="B356" t="s">
        <v>1438</v>
      </c>
      <c r="C356" t="s">
        <v>24</v>
      </c>
      <c r="D356" t="s">
        <v>1669</v>
      </c>
      <c r="E356" t="s">
        <v>26</v>
      </c>
      <c r="F356" t="s">
        <v>125</v>
      </c>
      <c r="G356" t="s">
        <v>28</v>
      </c>
      <c r="H356">
        <v>1</v>
      </c>
      <c r="I356" s="1" t="s">
        <v>1699</v>
      </c>
      <c r="J356" s="1" t="s">
        <v>1754</v>
      </c>
      <c r="K356">
        <v>1032</v>
      </c>
      <c r="L356">
        <v>594</v>
      </c>
      <c r="M356">
        <v>194</v>
      </c>
      <c r="N356">
        <v>136</v>
      </c>
      <c r="O356" s="2" t="s">
        <v>1755</v>
      </c>
      <c r="P356">
        <v>1</v>
      </c>
      <c r="Q356" t="s">
        <v>1756</v>
      </c>
      <c r="R356">
        <v>1</v>
      </c>
      <c r="S356" t="s">
        <v>1757</v>
      </c>
      <c r="T356">
        <v>1</v>
      </c>
      <c r="U356" t="s">
        <v>109</v>
      </c>
      <c r="V356" t="s">
        <v>1676</v>
      </c>
    </row>
    <row r="357" spans="1:22" hidden="1" x14ac:dyDescent="0.2">
      <c r="A357" t="s">
        <v>93</v>
      </c>
      <c r="B357" t="s">
        <v>1438</v>
      </c>
      <c r="C357" t="s">
        <v>24</v>
      </c>
      <c r="D357" t="s">
        <v>1669</v>
      </c>
      <c r="E357" t="s">
        <v>26</v>
      </c>
      <c r="F357" t="s">
        <v>125</v>
      </c>
      <c r="G357" t="s">
        <v>28</v>
      </c>
      <c r="H357">
        <v>2</v>
      </c>
      <c r="I357" s="1" t="s">
        <v>1699</v>
      </c>
      <c r="J357" s="1" t="s">
        <v>1758</v>
      </c>
      <c r="K357">
        <v>1032</v>
      </c>
      <c r="L357">
        <v>594</v>
      </c>
      <c r="M357">
        <v>219</v>
      </c>
      <c r="N357">
        <v>153</v>
      </c>
      <c r="O357" s="2" t="s">
        <v>1759</v>
      </c>
      <c r="P357">
        <v>1</v>
      </c>
      <c r="Q357" t="s">
        <v>1760</v>
      </c>
      <c r="R357">
        <v>1</v>
      </c>
      <c r="S357" t="s">
        <v>1761</v>
      </c>
      <c r="T357">
        <v>1</v>
      </c>
      <c r="U357" t="s">
        <v>109</v>
      </c>
      <c r="V357" t="s">
        <v>1676</v>
      </c>
    </row>
    <row r="358" spans="1:22" hidden="1" x14ac:dyDescent="0.2">
      <c r="A358" t="s">
        <v>93</v>
      </c>
      <c r="B358" t="s">
        <v>1438</v>
      </c>
      <c r="C358" t="s">
        <v>24</v>
      </c>
      <c r="D358" t="s">
        <v>1669</v>
      </c>
      <c r="E358" t="s">
        <v>26</v>
      </c>
      <c r="F358" t="s">
        <v>125</v>
      </c>
      <c r="G358" t="s">
        <v>28</v>
      </c>
      <c r="H358">
        <v>3</v>
      </c>
      <c r="I358" s="1" t="s">
        <v>1699</v>
      </c>
      <c r="J358" s="1" t="s">
        <v>1762</v>
      </c>
      <c r="K358">
        <v>1032</v>
      </c>
      <c r="L358">
        <v>594</v>
      </c>
      <c r="M358">
        <v>164</v>
      </c>
      <c r="N358">
        <v>108</v>
      </c>
      <c r="O358" s="2" t="s">
        <v>1763</v>
      </c>
      <c r="P358">
        <v>1</v>
      </c>
      <c r="Q358" t="s">
        <v>1764</v>
      </c>
      <c r="R358">
        <v>1</v>
      </c>
      <c r="S358" t="s">
        <v>1765</v>
      </c>
      <c r="T358">
        <v>1</v>
      </c>
      <c r="U358" t="s">
        <v>1766</v>
      </c>
      <c r="V358" t="s">
        <v>1676</v>
      </c>
    </row>
    <row r="359" spans="1:22" hidden="1" x14ac:dyDescent="0.2">
      <c r="A359" t="s">
        <v>140</v>
      </c>
      <c r="B359" t="s">
        <v>1438</v>
      </c>
      <c r="C359" t="s">
        <v>24</v>
      </c>
      <c r="D359" t="s">
        <v>1669</v>
      </c>
      <c r="E359" t="s">
        <v>26</v>
      </c>
      <c r="F359" t="s">
        <v>141</v>
      </c>
      <c r="G359" t="s">
        <v>28</v>
      </c>
      <c r="H359">
        <v>1</v>
      </c>
      <c r="I359" s="1" t="s">
        <v>1767</v>
      </c>
      <c r="J359" t="s">
        <v>1768</v>
      </c>
      <c r="K359">
        <v>940</v>
      </c>
      <c r="L359">
        <v>543</v>
      </c>
      <c r="M359">
        <v>556</v>
      </c>
      <c r="N359">
        <v>26</v>
      </c>
      <c r="O359" s="2" t="s">
        <v>1769</v>
      </c>
      <c r="P359">
        <v>1</v>
      </c>
      <c r="Q359" t="s">
        <v>1770</v>
      </c>
      <c r="R359">
        <v>1</v>
      </c>
      <c r="S359" t="s">
        <v>1771</v>
      </c>
      <c r="T359">
        <v>1</v>
      </c>
      <c r="U359" t="s">
        <v>1772</v>
      </c>
      <c r="V359" t="s">
        <v>1676</v>
      </c>
    </row>
    <row r="360" spans="1:22" hidden="1" x14ac:dyDescent="0.2">
      <c r="A360" t="s">
        <v>140</v>
      </c>
      <c r="B360" t="s">
        <v>1438</v>
      </c>
      <c r="C360" t="s">
        <v>24</v>
      </c>
      <c r="D360" t="s">
        <v>1669</v>
      </c>
      <c r="E360" t="s">
        <v>26</v>
      </c>
      <c r="F360" t="s">
        <v>141</v>
      </c>
      <c r="G360" t="s">
        <v>28</v>
      </c>
      <c r="H360">
        <v>2</v>
      </c>
      <c r="I360" s="1" t="s">
        <v>1767</v>
      </c>
      <c r="J360" s="1" t="s">
        <v>1773</v>
      </c>
      <c r="K360">
        <v>940</v>
      </c>
      <c r="L360">
        <v>543</v>
      </c>
      <c r="M360">
        <v>432</v>
      </c>
      <c r="N360">
        <v>31</v>
      </c>
      <c r="O360" s="2" t="s">
        <v>1774</v>
      </c>
      <c r="P360">
        <v>1</v>
      </c>
      <c r="Q360" t="s">
        <v>1775</v>
      </c>
      <c r="R360">
        <v>1</v>
      </c>
      <c r="S360" t="s">
        <v>1776</v>
      </c>
      <c r="T360">
        <v>1</v>
      </c>
      <c r="U360" t="s">
        <v>1777</v>
      </c>
      <c r="V360" t="s">
        <v>1676</v>
      </c>
    </row>
    <row r="361" spans="1:22" hidden="1" x14ac:dyDescent="0.2">
      <c r="A361" t="s">
        <v>140</v>
      </c>
      <c r="B361" t="s">
        <v>1438</v>
      </c>
      <c r="C361" t="s">
        <v>24</v>
      </c>
      <c r="D361" t="s">
        <v>1669</v>
      </c>
      <c r="E361" t="s">
        <v>26</v>
      </c>
      <c r="F361" t="s">
        <v>141</v>
      </c>
      <c r="G361" t="s">
        <v>28</v>
      </c>
      <c r="H361">
        <v>3</v>
      </c>
      <c r="I361" s="1" t="s">
        <v>1767</v>
      </c>
      <c r="J361" t="s">
        <v>1778</v>
      </c>
      <c r="K361">
        <v>940</v>
      </c>
      <c r="L361">
        <v>543</v>
      </c>
      <c r="M361">
        <v>226</v>
      </c>
      <c r="N361">
        <v>18</v>
      </c>
      <c r="O361" s="2" t="s">
        <v>1779</v>
      </c>
      <c r="P361">
        <v>1</v>
      </c>
      <c r="Q361" t="s">
        <v>1780</v>
      </c>
      <c r="R361">
        <v>1</v>
      </c>
      <c r="S361" t="s">
        <v>1781</v>
      </c>
      <c r="T361">
        <v>1</v>
      </c>
      <c r="U361" t="s">
        <v>339</v>
      </c>
      <c r="V361" t="s">
        <v>1676</v>
      </c>
    </row>
    <row r="362" spans="1:22" hidden="1" x14ac:dyDescent="0.2">
      <c r="A362" t="s">
        <v>22</v>
      </c>
      <c r="B362" t="s">
        <v>1438</v>
      </c>
      <c r="C362" t="s">
        <v>24</v>
      </c>
      <c r="D362" t="s">
        <v>1782</v>
      </c>
      <c r="E362" t="s">
        <v>395</v>
      </c>
      <c r="F362" t="s">
        <v>27</v>
      </c>
      <c r="G362" t="s">
        <v>28</v>
      </c>
      <c r="H362">
        <v>1</v>
      </c>
      <c r="I362" s="1" t="s">
        <v>1783</v>
      </c>
      <c r="J362" s="1" t="s">
        <v>1784</v>
      </c>
      <c r="K362">
        <v>1153</v>
      </c>
      <c r="L362">
        <v>569</v>
      </c>
      <c r="M362">
        <v>145</v>
      </c>
      <c r="N362">
        <v>83</v>
      </c>
      <c r="O362" s="2" t="s">
        <v>1785</v>
      </c>
      <c r="P362">
        <v>1</v>
      </c>
      <c r="Q362" t="s">
        <v>1786</v>
      </c>
      <c r="R362">
        <v>1</v>
      </c>
      <c r="S362" t="s">
        <v>1787</v>
      </c>
      <c r="T362">
        <v>1</v>
      </c>
      <c r="U362" t="s">
        <v>1788</v>
      </c>
      <c r="V362" t="s">
        <v>1789</v>
      </c>
    </row>
    <row r="363" spans="1:22" hidden="1" x14ac:dyDescent="0.2">
      <c r="A363" t="s">
        <v>22</v>
      </c>
      <c r="B363" t="s">
        <v>1438</v>
      </c>
      <c r="C363" t="s">
        <v>24</v>
      </c>
      <c r="D363" t="s">
        <v>1782</v>
      </c>
      <c r="E363" t="s">
        <v>395</v>
      </c>
      <c r="F363" t="s">
        <v>27</v>
      </c>
      <c r="G363" t="s">
        <v>28</v>
      </c>
      <c r="H363">
        <v>2</v>
      </c>
      <c r="I363" s="1" t="s">
        <v>1783</v>
      </c>
      <c r="J363" s="1" t="s">
        <v>1790</v>
      </c>
      <c r="K363">
        <v>1153</v>
      </c>
      <c r="L363">
        <v>569</v>
      </c>
      <c r="M363">
        <v>137</v>
      </c>
      <c r="N363">
        <v>75</v>
      </c>
      <c r="O363" s="2" t="s">
        <v>1791</v>
      </c>
      <c r="P363">
        <v>1</v>
      </c>
      <c r="Q363" t="s">
        <v>1792</v>
      </c>
      <c r="R363">
        <v>1</v>
      </c>
      <c r="S363" t="s">
        <v>1793</v>
      </c>
      <c r="T363">
        <v>1</v>
      </c>
      <c r="U363" t="s">
        <v>109</v>
      </c>
      <c r="V363" t="s">
        <v>1789</v>
      </c>
    </row>
    <row r="364" spans="1:22" hidden="1" x14ac:dyDescent="0.2">
      <c r="A364" t="s">
        <v>22</v>
      </c>
      <c r="B364" t="s">
        <v>1438</v>
      </c>
      <c r="C364" t="s">
        <v>24</v>
      </c>
      <c r="D364" t="s">
        <v>1782</v>
      </c>
      <c r="E364" t="s">
        <v>395</v>
      </c>
      <c r="F364" t="s">
        <v>27</v>
      </c>
      <c r="G364" t="s">
        <v>28</v>
      </c>
      <c r="H364">
        <v>3</v>
      </c>
      <c r="I364" s="1" t="s">
        <v>1783</v>
      </c>
      <c r="J364" s="1" t="s">
        <v>1794</v>
      </c>
      <c r="K364">
        <v>1153</v>
      </c>
      <c r="L364">
        <v>569</v>
      </c>
      <c r="M364">
        <v>139</v>
      </c>
      <c r="N364">
        <v>79</v>
      </c>
      <c r="O364" s="2" t="s">
        <v>1795</v>
      </c>
      <c r="P364">
        <v>1</v>
      </c>
      <c r="Q364" t="s">
        <v>1796</v>
      </c>
      <c r="R364">
        <v>1</v>
      </c>
      <c r="S364" t="s">
        <v>1797</v>
      </c>
      <c r="T364">
        <v>1</v>
      </c>
      <c r="U364" t="s">
        <v>252</v>
      </c>
      <c r="V364" t="s">
        <v>1789</v>
      </c>
    </row>
    <row r="365" spans="1:22" hidden="1" x14ac:dyDescent="0.2">
      <c r="A365" t="s">
        <v>22</v>
      </c>
      <c r="B365" t="s">
        <v>1438</v>
      </c>
      <c r="C365" t="s">
        <v>24</v>
      </c>
      <c r="D365" t="s">
        <v>1782</v>
      </c>
      <c r="E365" t="s">
        <v>395</v>
      </c>
      <c r="F365" t="s">
        <v>46</v>
      </c>
      <c r="G365" t="s">
        <v>28</v>
      </c>
      <c r="H365">
        <v>1</v>
      </c>
      <c r="I365" s="1" t="s">
        <v>1798</v>
      </c>
      <c r="J365" s="1" t="s">
        <v>1799</v>
      </c>
      <c r="K365">
        <v>1181</v>
      </c>
      <c r="L365">
        <v>583</v>
      </c>
      <c r="M365">
        <v>202</v>
      </c>
      <c r="N365">
        <v>121</v>
      </c>
      <c r="O365" s="2" t="s">
        <v>1800</v>
      </c>
      <c r="P365">
        <v>1</v>
      </c>
      <c r="Q365" t="s">
        <v>1801</v>
      </c>
      <c r="R365">
        <v>1</v>
      </c>
      <c r="S365" t="s">
        <v>1802</v>
      </c>
      <c r="T365">
        <v>1</v>
      </c>
      <c r="U365" t="s">
        <v>660</v>
      </c>
      <c r="V365" t="s">
        <v>1789</v>
      </c>
    </row>
    <row r="366" spans="1:22" hidden="1" x14ac:dyDescent="0.2">
      <c r="A366" t="s">
        <v>22</v>
      </c>
      <c r="B366" t="s">
        <v>1438</v>
      </c>
      <c r="C366" t="s">
        <v>24</v>
      </c>
      <c r="D366" t="s">
        <v>1782</v>
      </c>
      <c r="E366" t="s">
        <v>395</v>
      </c>
      <c r="F366" t="s">
        <v>46</v>
      </c>
      <c r="G366" t="s">
        <v>28</v>
      </c>
      <c r="H366">
        <v>2</v>
      </c>
      <c r="I366" s="1" t="s">
        <v>1798</v>
      </c>
      <c r="J366" s="1" t="s">
        <v>1803</v>
      </c>
      <c r="K366">
        <v>1181</v>
      </c>
      <c r="L366">
        <v>583</v>
      </c>
      <c r="M366">
        <v>200</v>
      </c>
      <c r="N366">
        <v>113</v>
      </c>
      <c r="O366" s="2" t="s">
        <v>1804</v>
      </c>
      <c r="P366">
        <v>1</v>
      </c>
      <c r="Q366" t="s">
        <v>1805</v>
      </c>
      <c r="R366">
        <v>1</v>
      </c>
      <c r="S366" t="s">
        <v>1806</v>
      </c>
      <c r="T366">
        <v>1</v>
      </c>
      <c r="U366" t="s">
        <v>1807</v>
      </c>
      <c r="V366" t="s">
        <v>1789</v>
      </c>
    </row>
    <row r="367" spans="1:22" hidden="1" x14ac:dyDescent="0.2">
      <c r="A367" t="s">
        <v>22</v>
      </c>
      <c r="B367" t="s">
        <v>1438</v>
      </c>
      <c r="C367" t="s">
        <v>24</v>
      </c>
      <c r="D367" t="s">
        <v>1782</v>
      </c>
      <c r="E367" t="s">
        <v>395</v>
      </c>
      <c r="F367" t="s">
        <v>46</v>
      </c>
      <c r="G367" t="s">
        <v>28</v>
      </c>
      <c r="H367">
        <v>3</v>
      </c>
      <c r="I367" s="1" t="s">
        <v>1798</v>
      </c>
      <c r="J367" s="1" t="s">
        <v>1808</v>
      </c>
      <c r="K367">
        <v>1181</v>
      </c>
      <c r="L367">
        <v>583</v>
      </c>
      <c r="M367">
        <v>208</v>
      </c>
      <c r="N367">
        <v>125</v>
      </c>
      <c r="O367" s="2" t="s">
        <v>1809</v>
      </c>
      <c r="P367">
        <v>1</v>
      </c>
      <c r="Q367" t="s">
        <v>1810</v>
      </c>
      <c r="R367">
        <v>1</v>
      </c>
      <c r="S367" t="s">
        <v>1811</v>
      </c>
      <c r="T367">
        <v>1</v>
      </c>
      <c r="U367" t="s">
        <v>325</v>
      </c>
      <c r="V367" t="s">
        <v>1789</v>
      </c>
    </row>
    <row r="368" spans="1:22" hidden="1" x14ac:dyDescent="0.2">
      <c r="A368" t="s">
        <v>22</v>
      </c>
      <c r="B368" t="s">
        <v>1438</v>
      </c>
      <c r="C368" t="s">
        <v>24</v>
      </c>
      <c r="D368" t="s">
        <v>1782</v>
      </c>
      <c r="E368" t="s">
        <v>395</v>
      </c>
      <c r="F368" t="s">
        <v>61</v>
      </c>
      <c r="G368" t="s">
        <v>28</v>
      </c>
      <c r="H368">
        <v>1</v>
      </c>
      <c r="I368" s="1" t="s">
        <v>1812</v>
      </c>
      <c r="J368" s="1" t="s">
        <v>1813</v>
      </c>
      <c r="K368">
        <v>1216</v>
      </c>
      <c r="L368">
        <v>605</v>
      </c>
      <c r="M368">
        <v>197</v>
      </c>
      <c r="N368">
        <v>108</v>
      </c>
      <c r="O368" s="2" t="s">
        <v>1814</v>
      </c>
      <c r="P368">
        <v>1</v>
      </c>
      <c r="Q368" t="s">
        <v>1815</v>
      </c>
      <c r="R368">
        <v>1</v>
      </c>
      <c r="S368" t="s">
        <v>1816</v>
      </c>
      <c r="T368">
        <v>1</v>
      </c>
      <c r="U368" t="s">
        <v>1163</v>
      </c>
      <c r="V368" t="s">
        <v>1789</v>
      </c>
    </row>
    <row r="369" spans="1:22" hidden="1" x14ac:dyDescent="0.2">
      <c r="A369" t="s">
        <v>22</v>
      </c>
      <c r="B369" t="s">
        <v>1438</v>
      </c>
      <c r="C369" t="s">
        <v>24</v>
      </c>
      <c r="D369" t="s">
        <v>1782</v>
      </c>
      <c r="E369" t="s">
        <v>395</v>
      </c>
      <c r="F369" t="s">
        <v>61</v>
      </c>
      <c r="G369" t="s">
        <v>28</v>
      </c>
      <c r="H369">
        <v>2</v>
      </c>
      <c r="I369" s="1" t="s">
        <v>1812</v>
      </c>
      <c r="J369" s="1" t="s">
        <v>1817</v>
      </c>
      <c r="K369">
        <v>1216</v>
      </c>
      <c r="L369">
        <v>605</v>
      </c>
      <c r="M369">
        <v>195</v>
      </c>
      <c r="N369">
        <v>106</v>
      </c>
      <c r="O369" s="2" t="s">
        <v>1818</v>
      </c>
      <c r="P369">
        <v>1</v>
      </c>
      <c r="Q369" t="s">
        <v>1819</v>
      </c>
      <c r="R369">
        <v>1</v>
      </c>
      <c r="S369" t="s">
        <v>1820</v>
      </c>
      <c r="T369">
        <v>1</v>
      </c>
      <c r="U369" t="s">
        <v>1821</v>
      </c>
      <c r="V369" t="s">
        <v>1789</v>
      </c>
    </row>
    <row r="370" spans="1:22" hidden="1" x14ac:dyDescent="0.2">
      <c r="A370" t="s">
        <v>22</v>
      </c>
      <c r="B370" t="s">
        <v>1438</v>
      </c>
      <c r="C370" t="s">
        <v>24</v>
      </c>
      <c r="D370" t="s">
        <v>1782</v>
      </c>
      <c r="E370" t="s">
        <v>395</v>
      </c>
      <c r="F370" t="s">
        <v>61</v>
      </c>
      <c r="G370" t="s">
        <v>28</v>
      </c>
      <c r="H370">
        <v>3</v>
      </c>
      <c r="I370" s="1" t="s">
        <v>1812</v>
      </c>
      <c r="J370" s="1" t="s">
        <v>1822</v>
      </c>
      <c r="K370">
        <v>1216</v>
      </c>
      <c r="L370">
        <v>605</v>
      </c>
      <c r="M370">
        <v>199</v>
      </c>
      <c r="N370">
        <v>108</v>
      </c>
      <c r="O370" s="2" t="s">
        <v>1823</v>
      </c>
      <c r="P370">
        <v>1</v>
      </c>
      <c r="Q370" t="s">
        <v>1824</v>
      </c>
      <c r="R370">
        <v>1</v>
      </c>
      <c r="S370" t="s">
        <v>1825</v>
      </c>
      <c r="T370">
        <v>1</v>
      </c>
      <c r="U370" t="s">
        <v>616</v>
      </c>
      <c r="V370" t="s">
        <v>1789</v>
      </c>
    </row>
    <row r="371" spans="1:22" hidden="1" x14ac:dyDescent="0.2">
      <c r="A371" t="s">
        <v>76</v>
      </c>
      <c r="B371" t="s">
        <v>1438</v>
      </c>
      <c r="C371" t="s">
        <v>24</v>
      </c>
      <c r="D371" t="s">
        <v>1782</v>
      </c>
      <c r="E371" t="s">
        <v>395</v>
      </c>
      <c r="F371" t="s">
        <v>77</v>
      </c>
      <c r="G371" t="s">
        <v>28</v>
      </c>
      <c r="H371">
        <v>1</v>
      </c>
      <c r="I371" s="1" t="s">
        <v>1812</v>
      </c>
      <c r="J371" s="1" t="s">
        <v>1826</v>
      </c>
      <c r="K371">
        <v>1070</v>
      </c>
      <c r="L371">
        <v>605</v>
      </c>
      <c r="M371">
        <v>165</v>
      </c>
      <c r="N371">
        <v>104</v>
      </c>
      <c r="O371" s="2" t="s">
        <v>1827</v>
      </c>
      <c r="P371">
        <v>1</v>
      </c>
      <c r="Q371" t="s">
        <v>1828</v>
      </c>
      <c r="R371">
        <v>1</v>
      </c>
      <c r="S371" t="s">
        <v>1829</v>
      </c>
      <c r="T371">
        <v>1</v>
      </c>
      <c r="U371" t="s">
        <v>1830</v>
      </c>
      <c r="V371" t="s">
        <v>1789</v>
      </c>
    </row>
    <row r="372" spans="1:22" hidden="1" x14ac:dyDescent="0.2">
      <c r="A372" t="s">
        <v>76</v>
      </c>
      <c r="B372" t="s">
        <v>1438</v>
      </c>
      <c r="C372" t="s">
        <v>24</v>
      </c>
      <c r="D372" t="s">
        <v>1782</v>
      </c>
      <c r="E372" t="s">
        <v>395</v>
      </c>
      <c r="F372" t="s">
        <v>77</v>
      </c>
      <c r="G372" t="s">
        <v>28</v>
      </c>
      <c r="H372">
        <v>2</v>
      </c>
      <c r="I372" s="1" t="s">
        <v>1812</v>
      </c>
      <c r="J372" s="1" t="s">
        <v>1831</v>
      </c>
      <c r="K372">
        <v>1070</v>
      </c>
      <c r="L372">
        <v>605</v>
      </c>
      <c r="M372">
        <v>156</v>
      </c>
      <c r="N372">
        <v>89</v>
      </c>
      <c r="O372" s="2" t="s">
        <v>1832</v>
      </c>
      <c r="P372">
        <v>1</v>
      </c>
      <c r="Q372" t="s">
        <v>1833</v>
      </c>
      <c r="R372">
        <v>1</v>
      </c>
      <c r="S372" t="s">
        <v>1834</v>
      </c>
      <c r="T372">
        <v>1</v>
      </c>
      <c r="U372" t="s">
        <v>1835</v>
      </c>
      <c r="V372" t="s">
        <v>1789</v>
      </c>
    </row>
    <row r="373" spans="1:22" hidden="1" x14ac:dyDescent="0.2">
      <c r="A373" t="s">
        <v>76</v>
      </c>
      <c r="B373" t="s">
        <v>1438</v>
      </c>
      <c r="C373" t="s">
        <v>24</v>
      </c>
      <c r="D373" t="s">
        <v>1782</v>
      </c>
      <c r="E373" t="s">
        <v>395</v>
      </c>
      <c r="F373" t="s">
        <v>77</v>
      </c>
      <c r="G373" t="s">
        <v>28</v>
      </c>
      <c r="H373">
        <v>3</v>
      </c>
      <c r="I373" s="1" t="s">
        <v>1812</v>
      </c>
      <c r="J373" s="1" t="s">
        <v>1836</v>
      </c>
      <c r="K373">
        <v>1070</v>
      </c>
      <c r="L373">
        <v>605</v>
      </c>
      <c r="M373">
        <v>159</v>
      </c>
      <c r="N373">
        <v>98</v>
      </c>
      <c r="O373" s="2" t="s">
        <v>1837</v>
      </c>
      <c r="P373">
        <v>1</v>
      </c>
      <c r="Q373" t="s">
        <v>1838</v>
      </c>
      <c r="R373">
        <v>1</v>
      </c>
      <c r="S373" t="s">
        <v>1839</v>
      </c>
      <c r="T373">
        <v>1</v>
      </c>
      <c r="U373" t="s">
        <v>1840</v>
      </c>
      <c r="V373" t="s">
        <v>1789</v>
      </c>
    </row>
    <row r="374" spans="1:22" hidden="1" x14ac:dyDescent="0.2">
      <c r="A374" t="s">
        <v>93</v>
      </c>
      <c r="B374" t="s">
        <v>1438</v>
      </c>
      <c r="C374" t="s">
        <v>24</v>
      </c>
      <c r="D374" t="s">
        <v>1782</v>
      </c>
      <c r="E374" t="s">
        <v>395</v>
      </c>
      <c r="F374" t="s">
        <v>94</v>
      </c>
      <c r="G374" t="s">
        <v>28</v>
      </c>
      <c r="H374">
        <v>1</v>
      </c>
      <c r="I374" s="1" t="s">
        <v>1783</v>
      </c>
      <c r="J374" s="1" t="s">
        <v>1841</v>
      </c>
      <c r="K374">
        <v>1014</v>
      </c>
      <c r="L374">
        <v>569</v>
      </c>
      <c r="M374">
        <v>114</v>
      </c>
      <c r="N374">
        <v>73</v>
      </c>
      <c r="O374" s="2" t="s">
        <v>1842</v>
      </c>
      <c r="P374">
        <v>1</v>
      </c>
      <c r="Q374" t="s">
        <v>1843</v>
      </c>
      <c r="R374">
        <v>1</v>
      </c>
      <c r="S374" t="s">
        <v>1844</v>
      </c>
      <c r="T374">
        <v>1</v>
      </c>
      <c r="U374" t="s">
        <v>109</v>
      </c>
      <c r="V374" t="s">
        <v>1789</v>
      </c>
    </row>
    <row r="375" spans="1:22" hidden="1" x14ac:dyDescent="0.2">
      <c r="A375" t="s">
        <v>93</v>
      </c>
      <c r="B375" t="s">
        <v>1438</v>
      </c>
      <c r="C375" t="s">
        <v>24</v>
      </c>
      <c r="D375" t="s">
        <v>1782</v>
      </c>
      <c r="E375" t="s">
        <v>395</v>
      </c>
      <c r="F375" t="s">
        <v>94</v>
      </c>
      <c r="G375" t="s">
        <v>28</v>
      </c>
      <c r="H375">
        <v>2</v>
      </c>
      <c r="I375" s="1" t="s">
        <v>1783</v>
      </c>
      <c r="J375" s="1" t="s">
        <v>1845</v>
      </c>
      <c r="K375">
        <v>1014</v>
      </c>
      <c r="L375">
        <v>569</v>
      </c>
      <c r="M375">
        <v>102</v>
      </c>
      <c r="N375">
        <v>62</v>
      </c>
      <c r="O375" s="2" t="s">
        <v>1846</v>
      </c>
      <c r="P375">
        <v>1</v>
      </c>
      <c r="Q375" t="s">
        <v>1847</v>
      </c>
      <c r="R375">
        <v>1</v>
      </c>
      <c r="S375" t="s">
        <v>1848</v>
      </c>
      <c r="T375">
        <v>1</v>
      </c>
      <c r="U375" t="s">
        <v>109</v>
      </c>
      <c r="V375" t="s">
        <v>1789</v>
      </c>
    </row>
    <row r="376" spans="1:22" hidden="1" x14ac:dyDescent="0.2">
      <c r="A376" t="s">
        <v>93</v>
      </c>
      <c r="B376" t="s">
        <v>1438</v>
      </c>
      <c r="C376" t="s">
        <v>24</v>
      </c>
      <c r="D376" t="s">
        <v>1782</v>
      </c>
      <c r="E376" t="s">
        <v>395</v>
      </c>
      <c r="F376" t="s">
        <v>94</v>
      </c>
      <c r="G376" t="s">
        <v>28</v>
      </c>
      <c r="H376">
        <v>3</v>
      </c>
      <c r="I376" s="1" t="s">
        <v>1783</v>
      </c>
      <c r="J376" s="1" t="s">
        <v>1849</v>
      </c>
      <c r="K376">
        <v>1014</v>
      </c>
      <c r="L376">
        <v>569</v>
      </c>
      <c r="M376">
        <v>88</v>
      </c>
      <c r="N376">
        <v>45</v>
      </c>
      <c r="O376" s="2" t="s">
        <v>1850</v>
      </c>
      <c r="P376">
        <v>1</v>
      </c>
      <c r="Q376" t="s">
        <v>1851</v>
      </c>
      <c r="R376">
        <v>1</v>
      </c>
      <c r="S376" t="s">
        <v>1852</v>
      </c>
      <c r="T376">
        <v>1</v>
      </c>
      <c r="U376" t="s">
        <v>45</v>
      </c>
      <c r="V376" t="s">
        <v>1789</v>
      </c>
    </row>
    <row r="377" spans="1:22" hidden="1" x14ac:dyDescent="0.2">
      <c r="A377" t="s">
        <v>93</v>
      </c>
      <c r="B377" t="s">
        <v>1438</v>
      </c>
      <c r="C377" t="s">
        <v>24</v>
      </c>
      <c r="D377" t="s">
        <v>1782</v>
      </c>
      <c r="E377" t="s">
        <v>395</v>
      </c>
      <c r="F377" t="s">
        <v>110</v>
      </c>
      <c r="G377" t="s">
        <v>28</v>
      </c>
      <c r="H377">
        <v>1</v>
      </c>
      <c r="I377" s="1" t="s">
        <v>1798</v>
      </c>
      <c r="J377" s="1" t="s">
        <v>1853</v>
      </c>
      <c r="K377">
        <v>1039</v>
      </c>
      <c r="L377">
        <v>583</v>
      </c>
      <c r="M377">
        <v>183</v>
      </c>
      <c r="N377">
        <v>123</v>
      </c>
      <c r="O377" s="2" t="s">
        <v>1854</v>
      </c>
      <c r="P377">
        <v>1</v>
      </c>
      <c r="Q377" t="s">
        <v>1855</v>
      </c>
      <c r="R377">
        <v>1</v>
      </c>
      <c r="S377" t="s">
        <v>1856</v>
      </c>
      <c r="T377">
        <v>1</v>
      </c>
      <c r="U377" t="s">
        <v>1857</v>
      </c>
      <c r="V377" t="s">
        <v>1789</v>
      </c>
    </row>
    <row r="378" spans="1:22" hidden="1" x14ac:dyDescent="0.2">
      <c r="A378" t="s">
        <v>93</v>
      </c>
      <c r="B378" t="s">
        <v>1438</v>
      </c>
      <c r="C378" t="s">
        <v>24</v>
      </c>
      <c r="D378" t="s">
        <v>1782</v>
      </c>
      <c r="E378" t="s">
        <v>395</v>
      </c>
      <c r="F378" t="s">
        <v>110</v>
      </c>
      <c r="G378" t="s">
        <v>28</v>
      </c>
      <c r="H378">
        <v>2</v>
      </c>
      <c r="I378" s="1" t="s">
        <v>1798</v>
      </c>
      <c r="J378" s="1" t="s">
        <v>1858</v>
      </c>
      <c r="K378">
        <v>1039</v>
      </c>
      <c r="L378">
        <v>583</v>
      </c>
      <c r="M378">
        <v>156</v>
      </c>
      <c r="N378">
        <v>101</v>
      </c>
      <c r="O378" s="2" t="s">
        <v>1859</v>
      </c>
      <c r="P378">
        <v>1</v>
      </c>
      <c r="Q378" t="s">
        <v>1860</v>
      </c>
      <c r="R378">
        <v>1</v>
      </c>
      <c r="S378" t="s">
        <v>1861</v>
      </c>
      <c r="T378">
        <v>1</v>
      </c>
      <c r="U378" t="s">
        <v>611</v>
      </c>
      <c r="V378" t="s">
        <v>1789</v>
      </c>
    </row>
    <row r="379" spans="1:22" hidden="1" x14ac:dyDescent="0.2">
      <c r="A379" t="s">
        <v>93</v>
      </c>
      <c r="B379" t="s">
        <v>1438</v>
      </c>
      <c r="C379" t="s">
        <v>24</v>
      </c>
      <c r="D379" t="s">
        <v>1782</v>
      </c>
      <c r="E379" t="s">
        <v>395</v>
      </c>
      <c r="F379" t="s">
        <v>110</v>
      </c>
      <c r="G379" t="s">
        <v>28</v>
      </c>
      <c r="H379">
        <v>3</v>
      </c>
      <c r="I379" s="1" t="s">
        <v>1798</v>
      </c>
      <c r="J379" s="1" t="s">
        <v>1862</v>
      </c>
      <c r="K379">
        <v>1039</v>
      </c>
      <c r="L379">
        <v>583</v>
      </c>
      <c r="M379">
        <v>169</v>
      </c>
      <c r="N379">
        <v>109</v>
      </c>
      <c r="O379" s="2" t="s">
        <v>1863</v>
      </c>
      <c r="P379">
        <v>1</v>
      </c>
      <c r="Q379" t="s">
        <v>1864</v>
      </c>
      <c r="R379">
        <v>1</v>
      </c>
      <c r="S379" t="s">
        <v>1865</v>
      </c>
      <c r="T379">
        <v>1</v>
      </c>
      <c r="U379" t="s">
        <v>1866</v>
      </c>
      <c r="V379" t="s">
        <v>1789</v>
      </c>
    </row>
    <row r="380" spans="1:22" hidden="1" x14ac:dyDescent="0.2">
      <c r="A380" t="s">
        <v>93</v>
      </c>
      <c r="B380" t="s">
        <v>1438</v>
      </c>
      <c r="C380" t="s">
        <v>24</v>
      </c>
      <c r="D380" t="s">
        <v>1782</v>
      </c>
      <c r="E380" t="s">
        <v>395</v>
      </c>
      <c r="F380" t="s">
        <v>125</v>
      </c>
      <c r="G380" t="s">
        <v>28</v>
      </c>
      <c r="H380">
        <v>1</v>
      </c>
      <c r="I380" s="1" t="s">
        <v>1812</v>
      </c>
      <c r="J380" s="1" t="s">
        <v>1867</v>
      </c>
      <c r="K380">
        <v>1070</v>
      </c>
      <c r="L380">
        <v>605</v>
      </c>
      <c r="M380">
        <v>175</v>
      </c>
      <c r="N380">
        <v>111</v>
      </c>
      <c r="O380" s="2" t="s">
        <v>1868</v>
      </c>
      <c r="P380">
        <v>1</v>
      </c>
      <c r="Q380" t="s">
        <v>1869</v>
      </c>
      <c r="R380">
        <v>1</v>
      </c>
      <c r="S380" t="s">
        <v>1870</v>
      </c>
      <c r="T380">
        <v>1</v>
      </c>
      <c r="U380" t="s">
        <v>325</v>
      </c>
      <c r="V380" t="s">
        <v>1789</v>
      </c>
    </row>
    <row r="381" spans="1:22" hidden="1" x14ac:dyDescent="0.2">
      <c r="A381" t="s">
        <v>93</v>
      </c>
      <c r="B381" t="s">
        <v>1438</v>
      </c>
      <c r="C381" t="s">
        <v>24</v>
      </c>
      <c r="D381" t="s">
        <v>1782</v>
      </c>
      <c r="E381" t="s">
        <v>395</v>
      </c>
      <c r="F381" t="s">
        <v>125</v>
      </c>
      <c r="G381" t="s">
        <v>28</v>
      </c>
      <c r="H381">
        <v>2</v>
      </c>
      <c r="I381" s="1" t="s">
        <v>1812</v>
      </c>
      <c r="J381" s="1" t="s">
        <v>1871</v>
      </c>
      <c r="K381">
        <v>1070</v>
      </c>
      <c r="L381">
        <v>605</v>
      </c>
      <c r="M381">
        <v>157</v>
      </c>
      <c r="N381">
        <v>94</v>
      </c>
      <c r="O381" s="2" t="s">
        <v>1872</v>
      </c>
      <c r="P381">
        <v>1</v>
      </c>
      <c r="Q381" t="s">
        <v>1873</v>
      </c>
      <c r="R381">
        <v>1</v>
      </c>
      <c r="S381" t="s">
        <v>1874</v>
      </c>
      <c r="T381">
        <v>1</v>
      </c>
      <c r="U381" t="s">
        <v>1428</v>
      </c>
      <c r="V381" t="s">
        <v>1789</v>
      </c>
    </row>
    <row r="382" spans="1:22" hidden="1" x14ac:dyDescent="0.2">
      <c r="A382" t="s">
        <v>93</v>
      </c>
      <c r="B382" t="s">
        <v>1438</v>
      </c>
      <c r="C382" t="s">
        <v>24</v>
      </c>
      <c r="D382" t="s">
        <v>1782</v>
      </c>
      <c r="E382" t="s">
        <v>395</v>
      </c>
      <c r="F382" t="s">
        <v>125</v>
      </c>
      <c r="G382" t="s">
        <v>28</v>
      </c>
      <c r="H382">
        <v>3</v>
      </c>
      <c r="I382" s="1" t="s">
        <v>1812</v>
      </c>
      <c r="J382" s="1" t="s">
        <v>1875</v>
      </c>
      <c r="K382">
        <v>1070</v>
      </c>
      <c r="L382">
        <v>605</v>
      </c>
      <c r="M382">
        <v>157</v>
      </c>
      <c r="N382">
        <v>96</v>
      </c>
      <c r="O382" s="2" t="s">
        <v>1876</v>
      </c>
      <c r="P382">
        <v>1</v>
      </c>
      <c r="Q382" t="s">
        <v>1877</v>
      </c>
      <c r="R382">
        <v>1</v>
      </c>
      <c r="S382" t="s">
        <v>1878</v>
      </c>
      <c r="T382">
        <v>1</v>
      </c>
      <c r="U382" t="s">
        <v>104</v>
      </c>
      <c r="V382" t="s">
        <v>1789</v>
      </c>
    </row>
    <row r="383" spans="1:22" hidden="1" x14ac:dyDescent="0.2">
      <c r="A383" t="s">
        <v>140</v>
      </c>
      <c r="B383" t="s">
        <v>1438</v>
      </c>
      <c r="C383" t="s">
        <v>24</v>
      </c>
      <c r="D383" t="s">
        <v>1782</v>
      </c>
      <c r="E383" t="s">
        <v>395</v>
      </c>
      <c r="F383" t="s">
        <v>141</v>
      </c>
      <c r="G383" t="s">
        <v>28</v>
      </c>
      <c r="H383">
        <v>1</v>
      </c>
      <c r="I383" s="1" t="s">
        <v>1879</v>
      </c>
      <c r="J383" t="s">
        <v>1880</v>
      </c>
      <c r="K383">
        <v>978</v>
      </c>
      <c r="L383">
        <v>554</v>
      </c>
      <c r="M383">
        <v>356</v>
      </c>
      <c r="N383">
        <v>17</v>
      </c>
      <c r="O383" s="2" t="s">
        <v>1881</v>
      </c>
      <c r="P383">
        <v>1</v>
      </c>
      <c r="Q383" t="s">
        <v>1882</v>
      </c>
      <c r="R383">
        <v>1</v>
      </c>
      <c r="S383" t="s">
        <v>1883</v>
      </c>
      <c r="T383">
        <v>1</v>
      </c>
      <c r="U383" t="s">
        <v>1163</v>
      </c>
      <c r="V383" t="s">
        <v>1789</v>
      </c>
    </row>
    <row r="384" spans="1:22" hidden="1" x14ac:dyDescent="0.2">
      <c r="A384" t="s">
        <v>140</v>
      </c>
      <c r="B384" t="s">
        <v>1438</v>
      </c>
      <c r="C384" t="s">
        <v>24</v>
      </c>
      <c r="D384" t="s">
        <v>1782</v>
      </c>
      <c r="E384" t="s">
        <v>395</v>
      </c>
      <c r="F384" t="s">
        <v>141</v>
      </c>
      <c r="G384" t="s">
        <v>28</v>
      </c>
      <c r="H384">
        <v>2</v>
      </c>
      <c r="I384" s="1" t="s">
        <v>1879</v>
      </c>
      <c r="J384" s="1" t="s">
        <v>1884</v>
      </c>
      <c r="K384">
        <v>978</v>
      </c>
      <c r="L384">
        <v>554</v>
      </c>
      <c r="M384">
        <v>299</v>
      </c>
      <c r="N384">
        <v>25</v>
      </c>
      <c r="O384" s="2" t="s">
        <v>1885</v>
      </c>
      <c r="P384">
        <v>1</v>
      </c>
      <c r="Q384" t="s">
        <v>1886</v>
      </c>
      <c r="R384">
        <v>1</v>
      </c>
      <c r="S384" t="s">
        <v>1887</v>
      </c>
      <c r="T384">
        <v>1</v>
      </c>
      <c r="U384" t="s">
        <v>1888</v>
      </c>
      <c r="V384" t="s">
        <v>1789</v>
      </c>
    </row>
    <row r="385" spans="1:22" hidden="1" x14ac:dyDescent="0.2">
      <c r="A385" t="s">
        <v>140</v>
      </c>
      <c r="B385" t="s">
        <v>1438</v>
      </c>
      <c r="C385" t="s">
        <v>24</v>
      </c>
      <c r="D385" t="s">
        <v>1782</v>
      </c>
      <c r="E385" t="s">
        <v>395</v>
      </c>
      <c r="F385" t="s">
        <v>141</v>
      </c>
      <c r="G385" t="s">
        <v>28</v>
      </c>
      <c r="H385">
        <v>3</v>
      </c>
      <c r="I385" s="1" t="s">
        <v>1879</v>
      </c>
      <c r="J385" s="1" t="s">
        <v>1889</v>
      </c>
      <c r="K385">
        <v>978</v>
      </c>
      <c r="L385">
        <v>554</v>
      </c>
      <c r="M385">
        <v>428</v>
      </c>
      <c r="N385">
        <v>27</v>
      </c>
      <c r="O385" s="2" t="s">
        <v>1890</v>
      </c>
      <c r="P385">
        <v>1</v>
      </c>
      <c r="Q385" t="s">
        <v>1891</v>
      </c>
      <c r="R385">
        <v>1</v>
      </c>
      <c r="S385" t="s">
        <v>1892</v>
      </c>
      <c r="T385">
        <v>1</v>
      </c>
      <c r="U385" t="s">
        <v>1025</v>
      </c>
      <c r="V385" t="s">
        <v>1789</v>
      </c>
    </row>
    <row r="386" spans="1:22" hidden="1" x14ac:dyDescent="0.2">
      <c r="A386" t="s">
        <v>22</v>
      </c>
      <c r="B386" t="s">
        <v>1438</v>
      </c>
      <c r="C386" t="s">
        <v>24</v>
      </c>
      <c r="D386" t="s">
        <v>1893</v>
      </c>
      <c r="E386" t="s">
        <v>395</v>
      </c>
      <c r="F386" t="s">
        <v>27</v>
      </c>
      <c r="G386" t="s">
        <v>28</v>
      </c>
      <c r="H386">
        <v>1</v>
      </c>
      <c r="I386" s="1" t="s">
        <v>1894</v>
      </c>
      <c r="J386" s="1" t="s">
        <v>1895</v>
      </c>
      <c r="K386">
        <v>1002</v>
      </c>
      <c r="L386">
        <v>523</v>
      </c>
      <c r="M386">
        <v>126</v>
      </c>
      <c r="N386">
        <v>75</v>
      </c>
      <c r="O386" s="2" t="s">
        <v>1896</v>
      </c>
      <c r="P386">
        <v>1</v>
      </c>
      <c r="Q386" t="s">
        <v>1897</v>
      </c>
      <c r="R386">
        <v>1</v>
      </c>
      <c r="S386" t="s">
        <v>1898</v>
      </c>
      <c r="T386">
        <v>1</v>
      </c>
      <c r="U386" t="s">
        <v>1899</v>
      </c>
      <c r="V386" t="s">
        <v>1900</v>
      </c>
    </row>
    <row r="387" spans="1:22" hidden="1" x14ac:dyDescent="0.2">
      <c r="A387" t="s">
        <v>22</v>
      </c>
      <c r="B387" t="s">
        <v>1438</v>
      </c>
      <c r="C387" t="s">
        <v>24</v>
      </c>
      <c r="D387" t="s">
        <v>1893</v>
      </c>
      <c r="E387" t="s">
        <v>395</v>
      </c>
      <c r="F387" t="s">
        <v>27</v>
      </c>
      <c r="G387" t="s">
        <v>28</v>
      </c>
      <c r="H387">
        <v>2</v>
      </c>
      <c r="I387" s="1" t="s">
        <v>1894</v>
      </c>
      <c r="J387" s="1" t="s">
        <v>1901</v>
      </c>
      <c r="K387">
        <v>1002</v>
      </c>
      <c r="L387">
        <v>523</v>
      </c>
      <c r="M387">
        <v>133</v>
      </c>
      <c r="N387">
        <v>79</v>
      </c>
      <c r="O387" s="2" t="s">
        <v>1902</v>
      </c>
      <c r="P387">
        <v>1</v>
      </c>
      <c r="Q387" t="s">
        <v>1903</v>
      </c>
      <c r="R387">
        <v>1</v>
      </c>
      <c r="S387" t="s">
        <v>1904</v>
      </c>
      <c r="T387">
        <v>1</v>
      </c>
      <c r="U387" t="s">
        <v>339</v>
      </c>
      <c r="V387" t="s">
        <v>1900</v>
      </c>
    </row>
    <row r="388" spans="1:22" hidden="1" x14ac:dyDescent="0.2">
      <c r="A388" t="s">
        <v>22</v>
      </c>
      <c r="B388" t="s">
        <v>1438</v>
      </c>
      <c r="C388" t="s">
        <v>24</v>
      </c>
      <c r="D388" t="s">
        <v>1893</v>
      </c>
      <c r="E388" t="s">
        <v>395</v>
      </c>
      <c r="F388" t="s">
        <v>27</v>
      </c>
      <c r="G388" t="s">
        <v>28</v>
      </c>
      <c r="H388">
        <v>3</v>
      </c>
      <c r="I388" s="1" t="s">
        <v>1894</v>
      </c>
      <c r="J388" s="1" t="s">
        <v>1905</v>
      </c>
      <c r="K388">
        <v>1002</v>
      </c>
      <c r="L388">
        <v>523</v>
      </c>
      <c r="M388">
        <v>134</v>
      </c>
      <c r="N388">
        <v>81</v>
      </c>
      <c r="O388" s="2" t="s">
        <v>1906</v>
      </c>
      <c r="P388">
        <v>1</v>
      </c>
      <c r="Q388" t="s">
        <v>1907</v>
      </c>
      <c r="R388">
        <v>0</v>
      </c>
      <c r="S388" t="s">
        <v>1908</v>
      </c>
      <c r="T388">
        <v>1</v>
      </c>
      <c r="U388" t="s">
        <v>109</v>
      </c>
      <c r="V388" t="s">
        <v>1900</v>
      </c>
    </row>
    <row r="389" spans="1:22" hidden="1" x14ac:dyDescent="0.2">
      <c r="A389" t="s">
        <v>22</v>
      </c>
      <c r="B389" t="s">
        <v>1438</v>
      </c>
      <c r="C389" t="s">
        <v>24</v>
      </c>
      <c r="D389" t="s">
        <v>1893</v>
      </c>
      <c r="E389" t="s">
        <v>395</v>
      </c>
      <c r="F389" t="s">
        <v>46</v>
      </c>
      <c r="G389" t="s">
        <v>28</v>
      </c>
      <c r="H389">
        <v>1</v>
      </c>
      <c r="I389" s="1" t="s">
        <v>1909</v>
      </c>
      <c r="J389" s="1" t="s">
        <v>1910</v>
      </c>
      <c r="K389">
        <v>1030</v>
      </c>
      <c r="L389">
        <v>537</v>
      </c>
      <c r="M389">
        <v>205</v>
      </c>
      <c r="N389">
        <v>122</v>
      </c>
      <c r="O389">
        <v>4.2368111610412598</v>
      </c>
      <c r="P389">
        <v>1</v>
      </c>
      <c r="Q389" t="s">
        <v>1911</v>
      </c>
      <c r="R389">
        <v>1</v>
      </c>
      <c r="S389" t="s">
        <v>1912</v>
      </c>
      <c r="T389">
        <v>1</v>
      </c>
      <c r="U389" t="s">
        <v>1913</v>
      </c>
      <c r="V389" t="s">
        <v>1900</v>
      </c>
    </row>
    <row r="390" spans="1:22" hidden="1" x14ac:dyDescent="0.2">
      <c r="A390" t="s">
        <v>22</v>
      </c>
      <c r="B390" t="s">
        <v>1438</v>
      </c>
      <c r="C390" t="s">
        <v>24</v>
      </c>
      <c r="D390" t="s">
        <v>1893</v>
      </c>
      <c r="E390" t="s">
        <v>395</v>
      </c>
      <c r="F390" t="s">
        <v>46</v>
      </c>
      <c r="G390" t="s">
        <v>28</v>
      </c>
      <c r="H390">
        <v>2</v>
      </c>
      <c r="I390" s="1" t="s">
        <v>1909</v>
      </c>
      <c r="J390" s="1" t="s">
        <v>1914</v>
      </c>
      <c r="K390">
        <v>1030</v>
      </c>
      <c r="L390">
        <v>537</v>
      </c>
      <c r="M390">
        <v>216</v>
      </c>
      <c r="N390">
        <v>131</v>
      </c>
      <c r="O390" s="2" t="s">
        <v>1915</v>
      </c>
      <c r="P390">
        <v>1</v>
      </c>
      <c r="Q390" t="s">
        <v>1916</v>
      </c>
      <c r="R390">
        <v>1</v>
      </c>
      <c r="S390" t="s">
        <v>1917</v>
      </c>
      <c r="T390">
        <v>1</v>
      </c>
      <c r="U390" t="s">
        <v>1918</v>
      </c>
      <c r="V390" t="s">
        <v>1900</v>
      </c>
    </row>
    <row r="391" spans="1:22" hidden="1" x14ac:dyDescent="0.2">
      <c r="A391" t="s">
        <v>22</v>
      </c>
      <c r="B391" t="s">
        <v>1438</v>
      </c>
      <c r="C391" t="s">
        <v>24</v>
      </c>
      <c r="D391" t="s">
        <v>1893</v>
      </c>
      <c r="E391" t="s">
        <v>395</v>
      </c>
      <c r="F391" t="s">
        <v>46</v>
      </c>
      <c r="G391" t="s">
        <v>28</v>
      </c>
      <c r="H391">
        <v>3</v>
      </c>
      <c r="I391" s="1" t="s">
        <v>1909</v>
      </c>
      <c r="J391" s="1" t="s">
        <v>1919</v>
      </c>
      <c r="K391">
        <v>1030</v>
      </c>
      <c r="L391">
        <v>537</v>
      </c>
      <c r="M391">
        <v>186</v>
      </c>
      <c r="N391">
        <v>113</v>
      </c>
      <c r="O391" s="2" t="s">
        <v>1920</v>
      </c>
      <c r="P391">
        <v>1</v>
      </c>
      <c r="Q391" t="s">
        <v>1921</v>
      </c>
      <c r="R391">
        <v>0</v>
      </c>
      <c r="S391" t="s">
        <v>1922</v>
      </c>
      <c r="T391">
        <v>1</v>
      </c>
      <c r="U391" t="s">
        <v>1923</v>
      </c>
      <c r="V391" t="s">
        <v>1900</v>
      </c>
    </row>
    <row r="392" spans="1:22" hidden="1" x14ac:dyDescent="0.2">
      <c r="A392" t="s">
        <v>22</v>
      </c>
      <c r="B392" t="s">
        <v>1438</v>
      </c>
      <c r="C392" t="s">
        <v>24</v>
      </c>
      <c r="D392" t="s">
        <v>1893</v>
      </c>
      <c r="E392" t="s">
        <v>395</v>
      </c>
      <c r="F392" t="s">
        <v>61</v>
      </c>
      <c r="G392" t="s">
        <v>28</v>
      </c>
      <c r="H392">
        <v>1</v>
      </c>
      <c r="I392" s="1" t="s">
        <v>1924</v>
      </c>
      <c r="J392" s="1" t="s">
        <v>1925</v>
      </c>
      <c r="K392">
        <v>1065</v>
      </c>
      <c r="L392">
        <v>559</v>
      </c>
      <c r="M392">
        <v>239</v>
      </c>
      <c r="N392">
        <v>138</v>
      </c>
      <c r="O392" s="2" t="s">
        <v>1926</v>
      </c>
      <c r="P392">
        <v>1</v>
      </c>
      <c r="Q392" t="s">
        <v>1927</v>
      </c>
      <c r="R392">
        <v>0</v>
      </c>
      <c r="S392" t="s">
        <v>1928</v>
      </c>
      <c r="T392">
        <v>1</v>
      </c>
      <c r="U392" t="s">
        <v>109</v>
      </c>
      <c r="V392" t="s">
        <v>1900</v>
      </c>
    </row>
    <row r="393" spans="1:22" hidden="1" x14ac:dyDescent="0.2">
      <c r="A393" t="s">
        <v>22</v>
      </c>
      <c r="B393" t="s">
        <v>1438</v>
      </c>
      <c r="C393" t="s">
        <v>24</v>
      </c>
      <c r="D393" t="s">
        <v>1893</v>
      </c>
      <c r="E393" t="s">
        <v>395</v>
      </c>
      <c r="F393" t="s">
        <v>61</v>
      </c>
      <c r="G393" t="s">
        <v>28</v>
      </c>
      <c r="H393">
        <v>2</v>
      </c>
      <c r="I393" s="1" t="s">
        <v>1924</v>
      </c>
      <c r="J393" s="1" t="s">
        <v>1929</v>
      </c>
      <c r="K393">
        <v>1065</v>
      </c>
      <c r="L393">
        <v>559</v>
      </c>
      <c r="M393">
        <v>235</v>
      </c>
      <c r="N393">
        <v>138</v>
      </c>
      <c r="O393" s="2" t="s">
        <v>1930</v>
      </c>
      <c r="P393">
        <v>1</v>
      </c>
      <c r="Q393" t="s">
        <v>1931</v>
      </c>
      <c r="R393">
        <v>0</v>
      </c>
      <c r="S393" t="s">
        <v>1932</v>
      </c>
      <c r="T393">
        <v>1</v>
      </c>
      <c r="U393" t="s">
        <v>616</v>
      </c>
      <c r="V393" t="s">
        <v>1900</v>
      </c>
    </row>
    <row r="394" spans="1:22" hidden="1" x14ac:dyDescent="0.2">
      <c r="A394" t="s">
        <v>22</v>
      </c>
      <c r="B394" t="s">
        <v>1438</v>
      </c>
      <c r="C394" t="s">
        <v>24</v>
      </c>
      <c r="D394" t="s">
        <v>1893</v>
      </c>
      <c r="E394" t="s">
        <v>395</v>
      </c>
      <c r="F394" t="s">
        <v>61</v>
      </c>
      <c r="G394" t="s">
        <v>28</v>
      </c>
      <c r="H394">
        <v>3</v>
      </c>
      <c r="I394" s="1" t="s">
        <v>1924</v>
      </c>
      <c r="J394" s="1" t="s">
        <v>1933</v>
      </c>
      <c r="K394">
        <v>1065</v>
      </c>
      <c r="L394">
        <v>559</v>
      </c>
      <c r="M394">
        <v>231</v>
      </c>
      <c r="N394">
        <v>136</v>
      </c>
      <c r="O394" s="2" t="s">
        <v>1934</v>
      </c>
      <c r="P394">
        <v>1</v>
      </c>
      <c r="Q394" t="s">
        <v>1935</v>
      </c>
      <c r="R394">
        <v>0</v>
      </c>
      <c r="S394" t="s">
        <v>1936</v>
      </c>
      <c r="T394">
        <v>1</v>
      </c>
      <c r="U394" t="s">
        <v>1937</v>
      </c>
      <c r="V394" t="s">
        <v>1900</v>
      </c>
    </row>
    <row r="395" spans="1:22" hidden="1" x14ac:dyDescent="0.2">
      <c r="A395" t="s">
        <v>76</v>
      </c>
      <c r="B395" t="s">
        <v>1438</v>
      </c>
      <c r="C395" t="s">
        <v>24</v>
      </c>
      <c r="D395" t="s">
        <v>1893</v>
      </c>
      <c r="E395" t="s">
        <v>395</v>
      </c>
      <c r="F395" t="s">
        <v>77</v>
      </c>
      <c r="G395" t="s">
        <v>28</v>
      </c>
      <c r="H395">
        <v>1</v>
      </c>
      <c r="I395" s="1" t="s">
        <v>1924</v>
      </c>
      <c r="J395" s="1" t="s">
        <v>1938</v>
      </c>
      <c r="K395">
        <v>950</v>
      </c>
      <c r="L395">
        <v>559</v>
      </c>
      <c r="M395">
        <v>171</v>
      </c>
      <c r="N395">
        <v>116</v>
      </c>
      <c r="O395" s="2" t="s">
        <v>1939</v>
      </c>
      <c r="P395">
        <v>1</v>
      </c>
      <c r="Q395" t="s">
        <v>1940</v>
      </c>
      <c r="R395">
        <v>1</v>
      </c>
      <c r="S395" t="s">
        <v>1941</v>
      </c>
      <c r="T395">
        <v>1</v>
      </c>
      <c r="U395" t="s">
        <v>109</v>
      </c>
      <c r="V395" t="s">
        <v>1900</v>
      </c>
    </row>
    <row r="396" spans="1:22" hidden="1" x14ac:dyDescent="0.2">
      <c r="A396" t="s">
        <v>76</v>
      </c>
      <c r="B396" t="s">
        <v>1438</v>
      </c>
      <c r="C396" t="s">
        <v>24</v>
      </c>
      <c r="D396" t="s">
        <v>1893</v>
      </c>
      <c r="E396" t="s">
        <v>395</v>
      </c>
      <c r="F396" t="s">
        <v>77</v>
      </c>
      <c r="G396" t="s">
        <v>28</v>
      </c>
      <c r="H396">
        <v>2</v>
      </c>
      <c r="I396" s="1" t="s">
        <v>1924</v>
      </c>
      <c r="J396" s="1" t="s">
        <v>1942</v>
      </c>
      <c r="K396">
        <v>950</v>
      </c>
      <c r="L396">
        <v>559</v>
      </c>
      <c r="M396">
        <v>155</v>
      </c>
      <c r="N396">
        <v>96</v>
      </c>
      <c r="O396" s="2" t="s">
        <v>1943</v>
      </c>
      <c r="P396">
        <v>0</v>
      </c>
      <c r="Q396" t="s">
        <v>1944</v>
      </c>
      <c r="R396">
        <v>1</v>
      </c>
      <c r="S396" t="s">
        <v>1945</v>
      </c>
      <c r="T396">
        <v>1</v>
      </c>
      <c r="U396" t="s">
        <v>339</v>
      </c>
      <c r="V396" t="s">
        <v>1900</v>
      </c>
    </row>
    <row r="397" spans="1:22" hidden="1" x14ac:dyDescent="0.2">
      <c r="A397" t="s">
        <v>76</v>
      </c>
      <c r="B397" t="s">
        <v>1438</v>
      </c>
      <c r="C397" t="s">
        <v>24</v>
      </c>
      <c r="D397" t="s">
        <v>1893</v>
      </c>
      <c r="E397" t="s">
        <v>395</v>
      </c>
      <c r="F397" t="s">
        <v>77</v>
      </c>
      <c r="G397" t="s">
        <v>28</v>
      </c>
      <c r="H397">
        <v>3</v>
      </c>
      <c r="I397" s="1" t="s">
        <v>1924</v>
      </c>
      <c r="J397" s="1" t="s">
        <v>1946</v>
      </c>
      <c r="K397">
        <v>950</v>
      </c>
      <c r="L397">
        <v>559</v>
      </c>
      <c r="M397">
        <v>150</v>
      </c>
      <c r="N397">
        <v>97</v>
      </c>
      <c r="O397">
        <v>2.1032290458679199</v>
      </c>
      <c r="P397">
        <v>1</v>
      </c>
      <c r="Q397" t="s">
        <v>1947</v>
      </c>
      <c r="R397">
        <v>1</v>
      </c>
      <c r="S397" t="s">
        <v>1948</v>
      </c>
      <c r="T397">
        <v>1</v>
      </c>
      <c r="U397" t="s">
        <v>213</v>
      </c>
      <c r="V397" t="s">
        <v>1900</v>
      </c>
    </row>
    <row r="398" spans="1:22" hidden="1" x14ac:dyDescent="0.2">
      <c r="A398" t="s">
        <v>93</v>
      </c>
      <c r="B398" t="s">
        <v>1438</v>
      </c>
      <c r="C398" t="s">
        <v>24</v>
      </c>
      <c r="D398" t="s">
        <v>1893</v>
      </c>
      <c r="E398" t="s">
        <v>395</v>
      </c>
      <c r="F398" t="s">
        <v>94</v>
      </c>
      <c r="G398" t="s">
        <v>28</v>
      </c>
      <c r="H398">
        <v>1</v>
      </c>
      <c r="I398" s="1" t="s">
        <v>1894</v>
      </c>
      <c r="J398" s="1" t="s">
        <v>1949</v>
      </c>
      <c r="K398">
        <v>894</v>
      </c>
      <c r="L398">
        <v>523</v>
      </c>
      <c r="M398">
        <v>120</v>
      </c>
      <c r="N398">
        <v>82</v>
      </c>
      <c r="O398" s="2" t="s">
        <v>1950</v>
      </c>
      <c r="P398">
        <v>1</v>
      </c>
      <c r="Q398" t="s">
        <v>1951</v>
      </c>
      <c r="R398">
        <v>1</v>
      </c>
      <c r="S398" t="s">
        <v>1952</v>
      </c>
      <c r="T398">
        <v>1</v>
      </c>
      <c r="U398" t="s">
        <v>82</v>
      </c>
      <c r="V398" t="s">
        <v>1900</v>
      </c>
    </row>
    <row r="399" spans="1:22" hidden="1" x14ac:dyDescent="0.2">
      <c r="A399" t="s">
        <v>93</v>
      </c>
      <c r="B399" t="s">
        <v>1438</v>
      </c>
      <c r="C399" t="s">
        <v>24</v>
      </c>
      <c r="D399" t="s">
        <v>1893</v>
      </c>
      <c r="E399" t="s">
        <v>395</v>
      </c>
      <c r="F399" t="s">
        <v>94</v>
      </c>
      <c r="G399" t="s">
        <v>28</v>
      </c>
      <c r="H399">
        <v>2</v>
      </c>
      <c r="I399" s="1" t="s">
        <v>1894</v>
      </c>
      <c r="J399" s="1" t="s">
        <v>1953</v>
      </c>
      <c r="K399">
        <v>894</v>
      </c>
      <c r="L399">
        <v>523</v>
      </c>
      <c r="M399">
        <v>112</v>
      </c>
      <c r="N399">
        <v>78</v>
      </c>
      <c r="O399" s="2" t="s">
        <v>1954</v>
      </c>
      <c r="P399">
        <v>1</v>
      </c>
      <c r="Q399" t="s">
        <v>1955</v>
      </c>
      <c r="R399">
        <v>1</v>
      </c>
      <c r="S399" t="s">
        <v>1956</v>
      </c>
      <c r="T399">
        <v>1</v>
      </c>
      <c r="U399" t="s">
        <v>325</v>
      </c>
      <c r="V399" t="s">
        <v>1900</v>
      </c>
    </row>
    <row r="400" spans="1:22" hidden="1" x14ac:dyDescent="0.2">
      <c r="A400" t="s">
        <v>93</v>
      </c>
      <c r="B400" t="s">
        <v>1438</v>
      </c>
      <c r="C400" t="s">
        <v>24</v>
      </c>
      <c r="D400" t="s">
        <v>1893</v>
      </c>
      <c r="E400" t="s">
        <v>395</v>
      </c>
      <c r="F400" t="s">
        <v>94</v>
      </c>
      <c r="G400" t="s">
        <v>28</v>
      </c>
      <c r="H400">
        <v>3</v>
      </c>
      <c r="I400" s="1" t="s">
        <v>1894</v>
      </c>
      <c r="J400" s="1" t="s">
        <v>1957</v>
      </c>
      <c r="K400">
        <v>894</v>
      </c>
      <c r="L400">
        <v>523</v>
      </c>
      <c r="M400">
        <v>111</v>
      </c>
      <c r="N400">
        <v>72</v>
      </c>
      <c r="O400" s="2" t="s">
        <v>1958</v>
      </c>
      <c r="P400">
        <v>1</v>
      </c>
      <c r="Q400" t="s">
        <v>1959</v>
      </c>
      <c r="R400">
        <v>0</v>
      </c>
      <c r="S400" t="s">
        <v>1960</v>
      </c>
      <c r="T400">
        <v>1</v>
      </c>
      <c r="U400" t="s">
        <v>616</v>
      </c>
      <c r="V400" t="s">
        <v>1900</v>
      </c>
    </row>
    <row r="401" spans="1:22" hidden="1" x14ac:dyDescent="0.2">
      <c r="A401" t="s">
        <v>93</v>
      </c>
      <c r="B401" t="s">
        <v>1438</v>
      </c>
      <c r="C401" t="s">
        <v>24</v>
      </c>
      <c r="D401" t="s">
        <v>1893</v>
      </c>
      <c r="E401" t="s">
        <v>395</v>
      </c>
      <c r="F401" t="s">
        <v>110</v>
      </c>
      <c r="G401" t="s">
        <v>28</v>
      </c>
      <c r="H401">
        <v>1</v>
      </c>
      <c r="I401" s="1" t="s">
        <v>1909</v>
      </c>
      <c r="J401" s="1" t="s">
        <v>1961</v>
      </c>
      <c r="K401">
        <v>919</v>
      </c>
      <c r="L401">
        <v>537</v>
      </c>
      <c r="M401">
        <v>184</v>
      </c>
      <c r="N401">
        <v>130</v>
      </c>
      <c r="O401" s="2" t="s">
        <v>1962</v>
      </c>
      <c r="P401">
        <v>1</v>
      </c>
      <c r="Q401" t="s">
        <v>1963</v>
      </c>
      <c r="R401">
        <v>0</v>
      </c>
      <c r="S401" t="s">
        <v>1964</v>
      </c>
      <c r="T401">
        <v>1</v>
      </c>
      <c r="U401" t="s">
        <v>1965</v>
      </c>
      <c r="V401" t="s">
        <v>1900</v>
      </c>
    </row>
    <row r="402" spans="1:22" hidden="1" x14ac:dyDescent="0.2">
      <c r="A402" t="s">
        <v>93</v>
      </c>
      <c r="B402" t="s">
        <v>1438</v>
      </c>
      <c r="C402" t="s">
        <v>24</v>
      </c>
      <c r="D402" t="s">
        <v>1893</v>
      </c>
      <c r="E402" t="s">
        <v>395</v>
      </c>
      <c r="F402" t="s">
        <v>110</v>
      </c>
      <c r="G402" t="s">
        <v>28</v>
      </c>
      <c r="H402">
        <v>2</v>
      </c>
      <c r="I402" s="1" t="s">
        <v>1909</v>
      </c>
      <c r="J402" s="1" t="s">
        <v>1966</v>
      </c>
      <c r="K402">
        <v>919</v>
      </c>
      <c r="L402">
        <v>537</v>
      </c>
      <c r="M402">
        <v>174</v>
      </c>
      <c r="N402">
        <v>122</v>
      </c>
      <c r="O402" s="2" t="s">
        <v>1967</v>
      </c>
      <c r="P402">
        <v>1</v>
      </c>
      <c r="Q402" t="s">
        <v>1968</v>
      </c>
      <c r="R402">
        <v>1</v>
      </c>
      <c r="S402" t="s">
        <v>1969</v>
      </c>
      <c r="T402">
        <v>1</v>
      </c>
      <c r="U402" t="s">
        <v>1970</v>
      </c>
      <c r="V402" t="s">
        <v>1900</v>
      </c>
    </row>
    <row r="403" spans="1:22" hidden="1" x14ac:dyDescent="0.2">
      <c r="A403" t="s">
        <v>93</v>
      </c>
      <c r="B403" t="s">
        <v>1438</v>
      </c>
      <c r="C403" t="s">
        <v>24</v>
      </c>
      <c r="D403" t="s">
        <v>1893</v>
      </c>
      <c r="E403" t="s">
        <v>395</v>
      </c>
      <c r="F403" t="s">
        <v>110</v>
      </c>
      <c r="G403" t="s">
        <v>28</v>
      </c>
      <c r="H403">
        <v>3</v>
      </c>
      <c r="I403" s="1" t="s">
        <v>1909</v>
      </c>
      <c r="J403" s="1" t="s">
        <v>1971</v>
      </c>
      <c r="K403">
        <v>919</v>
      </c>
      <c r="L403">
        <v>537</v>
      </c>
      <c r="M403">
        <v>157</v>
      </c>
      <c r="N403">
        <v>108</v>
      </c>
      <c r="O403" s="2" t="s">
        <v>1972</v>
      </c>
      <c r="P403">
        <v>1</v>
      </c>
      <c r="Q403" t="s">
        <v>1973</v>
      </c>
      <c r="R403">
        <v>1</v>
      </c>
      <c r="S403" t="s">
        <v>1974</v>
      </c>
      <c r="T403">
        <v>1</v>
      </c>
      <c r="U403" t="s">
        <v>1975</v>
      </c>
      <c r="V403" t="s">
        <v>1900</v>
      </c>
    </row>
    <row r="404" spans="1:22" hidden="1" x14ac:dyDescent="0.2">
      <c r="A404" t="s">
        <v>93</v>
      </c>
      <c r="B404" t="s">
        <v>1438</v>
      </c>
      <c r="C404" t="s">
        <v>24</v>
      </c>
      <c r="D404" t="s">
        <v>1893</v>
      </c>
      <c r="E404" t="s">
        <v>395</v>
      </c>
      <c r="F404" t="s">
        <v>125</v>
      </c>
      <c r="G404" t="s">
        <v>28</v>
      </c>
      <c r="H404">
        <v>1</v>
      </c>
      <c r="I404" s="1" t="s">
        <v>1924</v>
      </c>
      <c r="J404" s="1" t="s">
        <v>1976</v>
      </c>
      <c r="K404">
        <v>950</v>
      </c>
      <c r="L404">
        <v>559</v>
      </c>
      <c r="M404">
        <v>202</v>
      </c>
      <c r="N404">
        <v>146</v>
      </c>
      <c r="O404" s="2" t="s">
        <v>1977</v>
      </c>
      <c r="P404">
        <v>1</v>
      </c>
      <c r="Q404" t="s">
        <v>1978</v>
      </c>
      <c r="R404">
        <v>0</v>
      </c>
      <c r="S404" t="s">
        <v>1979</v>
      </c>
      <c r="T404">
        <v>1</v>
      </c>
      <c r="U404" t="s">
        <v>1980</v>
      </c>
      <c r="V404" t="s">
        <v>1900</v>
      </c>
    </row>
    <row r="405" spans="1:22" hidden="1" x14ac:dyDescent="0.2">
      <c r="A405" t="s">
        <v>93</v>
      </c>
      <c r="B405" t="s">
        <v>1438</v>
      </c>
      <c r="C405" t="s">
        <v>24</v>
      </c>
      <c r="D405" t="s">
        <v>1893</v>
      </c>
      <c r="E405" t="s">
        <v>395</v>
      </c>
      <c r="F405" t="s">
        <v>125</v>
      </c>
      <c r="G405" t="s">
        <v>28</v>
      </c>
      <c r="H405">
        <v>2</v>
      </c>
      <c r="I405" s="1" t="s">
        <v>1924</v>
      </c>
      <c r="J405" s="1" t="s">
        <v>1981</v>
      </c>
      <c r="K405">
        <v>950</v>
      </c>
      <c r="L405">
        <v>559</v>
      </c>
      <c r="M405">
        <v>178</v>
      </c>
      <c r="N405">
        <v>118</v>
      </c>
      <c r="O405" s="2" t="s">
        <v>1982</v>
      </c>
      <c r="P405">
        <v>1</v>
      </c>
      <c r="Q405" t="s">
        <v>1983</v>
      </c>
      <c r="R405">
        <v>0</v>
      </c>
      <c r="S405" t="s">
        <v>1984</v>
      </c>
      <c r="T405">
        <v>1</v>
      </c>
      <c r="U405" t="s">
        <v>339</v>
      </c>
      <c r="V405" t="s">
        <v>1900</v>
      </c>
    </row>
    <row r="406" spans="1:22" hidden="1" x14ac:dyDescent="0.2">
      <c r="A406" t="s">
        <v>93</v>
      </c>
      <c r="B406" t="s">
        <v>1438</v>
      </c>
      <c r="C406" t="s">
        <v>24</v>
      </c>
      <c r="D406" t="s">
        <v>1893</v>
      </c>
      <c r="E406" t="s">
        <v>395</v>
      </c>
      <c r="F406" t="s">
        <v>125</v>
      </c>
      <c r="G406" t="s">
        <v>28</v>
      </c>
      <c r="H406">
        <v>3</v>
      </c>
      <c r="I406" s="1" t="s">
        <v>1924</v>
      </c>
      <c r="J406" s="1" t="s">
        <v>1985</v>
      </c>
      <c r="K406">
        <v>950</v>
      </c>
      <c r="L406">
        <v>559</v>
      </c>
      <c r="M406">
        <v>202</v>
      </c>
      <c r="N406">
        <v>141</v>
      </c>
      <c r="O406" s="2" t="s">
        <v>1986</v>
      </c>
      <c r="P406">
        <v>1</v>
      </c>
      <c r="Q406" t="s">
        <v>1987</v>
      </c>
      <c r="R406">
        <v>1</v>
      </c>
      <c r="S406" t="s">
        <v>1988</v>
      </c>
      <c r="T406">
        <v>1</v>
      </c>
      <c r="U406" t="s">
        <v>1989</v>
      </c>
      <c r="V406" t="s">
        <v>1900</v>
      </c>
    </row>
    <row r="407" spans="1:22" hidden="1" x14ac:dyDescent="0.2">
      <c r="A407" t="s">
        <v>140</v>
      </c>
      <c r="B407" t="s">
        <v>1438</v>
      </c>
      <c r="C407" t="s">
        <v>24</v>
      </c>
      <c r="D407" t="s">
        <v>1893</v>
      </c>
      <c r="E407" t="s">
        <v>395</v>
      </c>
      <c r="F407" t="s">
        <v>141</v>
      </c>
      <c r="G407" t="s">
        <v>28</v>
      </c>
      <c r="H407">
        <v>1</v>
      </c>
      <c r="I407" s="1" t="s">
        <v>1990</v>
      </c>
      <c r="J407" t="s">
        <v>1991</v>
      </c>
      <c r="K407">
        <v>858</v>
      </c>
      <c r="L407">
        <v>508</v>
      </c>
      <c r="M407">
        <v>432</v>
      </c>
      <c r="N407">
        <v>31</v>
      </c>
      <c r="O407" s="2" t="s">
        <v>1992</v>
      </c>
      <c r="P407">
        <v>1</v>
      </c>
      <c r="Q407" t="s">
        <v>1993</v>
      </c>
      <c r="R407">
        <v>0</v>
      </c>
      <c r="S407" t="s">
        <v>1994</v>
      </c>
      <c r="T407">
        <v>1</v>
      </c>
      <c r="U407" t="s">
        <v>1995</v>
      </c>
      <c r="V407" t="s">
        <v>1900</v>
      </c>
    </row>
    <row r="408" spans="1:22" hidden="1" x14ac:dyDescent="0.2">
      <c r="A408" t="s">
        <v>140</v>
      </c>
      <c r="B408" t="s">
        <v>1438</v>
      </c>
      <c r="C408" t="s">
        <v>24</v>
      </c>
      <c r="D408" t="s">
        <v>1893</v>
      </c>
      <c r="E408" t="s">
        <v>395</v>
      </c>
      <c r="F408" t="s">
        <v>141</v>
      </c>
      <c r="G408" t="s">
        <v>28</v>
      </c>
      <c r="H408">
        <v>2</v>
      </c>
      <c r="I408" s="1" t="s">
        <v>1990</v>
      </c>
      <c r="J408" t="s">
        <v>1996</v>
      </c>
      <c r="K408">
        <v>858</v>
      </c>
      <c r="L408">
        <v>508</v>
      </c>
      <c r="M408">
        <v>422</v>
      </c>
      <c r="N408">
        <v>21</v>
      </c>
      <c r="O408" s="2" t="s">
        <v>1997</v>
      </c>
      <c r="P408">
        <v>1</v>
      </c>
      <c r="Q408" t="s">
        <v>1998</v>
      </c>
      <c r="R408">
        <v>0</v>
      </c>
      <c r="S408" t="s">
        <v>1999</v>
      </c>
      <c r="T408">
        <v>1</v>
      </c>
      <c r="U408" t="s">
        <v>2000</v>
      </c>
      <c r="V408" t="s">
        <v>1900</v>
      </c>
    </row>
    <row r="409" spans="1:22" hidden="1" x14ac:dyDescent="0.2">
      <c r="A409" t="s">
        <v>140</v>
      </c>
      <c r="B409" t="s">
        <v>1438</v>
      </c>
      <c r="C409" t="s">
        <v>24</v>
      </c>
      <c r="D409" t="s">
        <v>1893</v>
      </c>
      <c r="E409" t="s">
        <v>395</v>
      </c>
      <c r="F409" t="s">
        <v>141</v>
      </c>
      <c r="G409" t="s">
        <v>28</v>
      </c>
      <c r="H409">
        <v>3</v>
      </c>
      <c r="I409" s="1" t="s">
        <v>1990</v>
      </c>
      <c r="J409" t="s">
        <v>2001</v>
      </c>
      <c r="K409">
        <v>858</v>
      </c>
      <c r="L409">
        <v>508</v>
      </c>
      <c r="M409">
        <v>617</v>
      </c>
      <c r="N409">
        <v>23</v>
      </c>
      <c r="O409" s="2" t="s">
        <v>2002</v>
      </c>
      <c r="P409">
        <v>1</v>
      </c>
      <c r="Q409" t="s">
        <v>2003</v>
      </c>
      <c r="R409">
        <v>1</v>
      </c>
      <c r="S409" t="s">
        <v>2004</v>
      </c>
      <c r="T409">
        <v>1</v>
      </c>
      <c r="U409" t="s">
        <v>339</v>
      </c>
      <c r="V409" t="s">
        <v>1900</v>
      </c>
    </row>
    <row r="410" spans="1:22" hidden="1" x14ac:dyDescent="0.2">
      <c r="A410" t="s">
        <v>22</v>
      </c>
      <c r="B410" t="s">
        <v>1438</v>
      </c>
      <c r="C410" t="s">
        <v>24</v>
      </c>
      <c r="D410" t="s">
        <v>2005</v>
      </c>
      <c r="E410" t="s">
        <v>395</v>
      </c>
      <c r="F410" t="s">
        <v>27</v>
      </c>
      <c r="G410" t="s">
        <v>28</v>
      </c>
      <c r="H410">
        <v>1</v>
      </c>
      <c r="I410" s="1" t="s">
        <v>2006</v>
      </c>
      <c r="J410" s="1" t="s">
        <v>2007</v>
      </c>
      <c r="K410">
        <v>1210</v>
      </c>
      <c r="L410">
        <v>591</v>
      </c>
      <c r="M410">
        <v>134</v>
      </c>
      <c r="N410">
        <v>81</v>
      </c>
      <c r="O410" s="2" t="s">
        <v>2008</v>
      </c>
      <c r="P410">
        <v>1</v>
      </c>
      <c r="Q410" t="s">
        <v>2009</v>
      </c>
      <c r="R410">
        <v>1</v>
      </c>
      <c r="S410" t="s">
        <v>2010</v>
      </c>
      <c r="T410">
        <v>1</v>
      </c>
      <c r="U410" t="s">
        <v>2011</v>
      </c>
      <c r="V410" t="s">
        <v>2012</v>
      </c>
    </row>
    <row r="411" spans="1:22" hidden="1" x14ac:dyDescent="0.2">
      <c r="A411" t="s">
        <v>22</v>
      </c>
      <c r="B411" t="s">
        <v>1438</v>
      </c>
      <c r="C411" t="s">
        <v>24</v>
      </c>
      <c r="D411" t="s">
        <v>2005</v>
      </c>
      <c r="E411" t="s">
        <v>395</v>
      </c>
      <c r="F411" t="s">
        <v>27</v>
      </c>
      <c r="G411" t="s">
        <v>28</v>
      </c>
      <c r="H411">
        <v>2</v>
      </c>
      <c r="I411" s="1" t="s">
        <v>2006</v>
      </c>
      <c r="J411" s="1" t="s">
        <v>2013</v>
      </c>
      <c r="K411">
        <v>1210</v>
      </c>
      <c r="L411">
        <v>591</v>
      </c>
      <c r="M411">
        <v>136</v>
      </c>
      <c r="N411">
        <v>80</v>
      </c>
      <c r="O411" s="2" t="s">
        <v>2014</v>
      </c>
      <c r="P411">
        <v>1</v>
      </c>
      <c r="Q411" t="s">
        <v>2015</v>
      </c>
      <c r="R411">
        <v>1</v>
      </c>
      <c r="S411" t="s">
        <v>2016</v>
      </c>
      <c r="T411">
        <v>1</v>
      </c>
      <c r="U411" t="s">
        <v>2017</v>
      </c>
      <c r="V411" t="s">
        <v>2012</v>
      </c>
    </row>
    <row r="412" spans="1:22" hidden="1" x14ac:dyDescent="0.2">
      <c r="A412" t="s">
        <v>22</v>
      </c>
      <c r="B412" t="s">
        <v>1438</v>
      </c>
      <c r="C412" t="s">
        <v>24</v>
      </c>
      <c r="D412" t="s">
        <v>2005</v>
      </c>
      <c r="E412" t="s">
        <v>395</v>
      </c>
      <c r="F412" t="s">
        <v>27</v>
      </c>
      <c r="G412" t="s">
        <v>28</v>
      </c>
      <c r="H412">
        <v>3</v>
      </c>
      <c r="I412" s="1" t="s">
        <v>2006</v>
      </c>
      <c r="J412" s="1" t="s">
        <v>2018</v>
      </c>
      <c r="K412">
        <v>1210</v>
      </c>
      <c r="L412">
        <v>591</v>
      </c>
      <c r="M412">
        <v>154</v>
      </c>
      <c r="N412">
        <v>96</v>
      </c>
      <c r="O412" s="2" t="s">
        <v>2019</v>
      </c>
      <c r="P412">
        <v>1</v>
      </c>
      <c r="Q412" t="s">
        <v>2020</v>
      </c>
      <c r="R412">
        <v>1</v>
      </c>
      <c r="S412" t="s">
        <v>2021</v>
      </c>
      <c r="T412">
        <v>1</v>
      </c>
      <c r="U412" t="s">
        <v>2022</v>
      </c>
      <c r="V412" t="s">
        <v>2012</v>
      </c>
    </row>
    <row r="413" spans="1:22" hidden="1" x14ac:dyDescent="0.2">
      <c r="A413" t="s">
        <v>22</v>
      </c>
      <c r="B413" t="s">
        <v>1438</v>
      </c>
      <c r="C413" t="s">
        <v>24</v>
      </c>
      <c r="D413" t="s">
        <v>2005</v>
      </c>
      <c r="E413" t="s">
        <v>395</v>
      </c>
      <c r="F413" t="s">
        <v>46</v>
      </c>
      <c r="G413" t="s">
        <v>28</v>
      </c>
      <c r="H413">
        <v>1</v>
      </c>
      <c r="I413" s="1" t="s">
        <v>2023</v>
      </c>
      <c r="J413" s="1" t="s">
        <v>2024</v>
      </c>
      <c r="K413">
        <v>1238</v>
      </c>
      <c r="L413">
        <v>605</v>
      </c>
      <c r="M413">
        <v>237</v>
      </c>
      <c r="N413">
        <v>152</v>
      </c>
      <c r="O413">
        <v>5.3553202152252197</v>
      </c>
      <c r="P413">
        <v>1</v>
      </c>
      <c r="Q413" t="s">
        <v>2025</v>
      </c>
      <c r="R413">
        <v>1</v>
      </c>
      <c r="S413" t="s">
        <v>2026</v>
      </c>
      <c r="T413">
        <v>1</v>
      </c>
      <c r="U413" t="s">
        <v>109</v>
      </c>
      <c r="V413" t="s">
        <v>2012</v>
      </c>
    </row>
    <row r="414" spans="1:22" hidden="1" x14ac:dyDescent="0.2">
      <c r="A414" t="s">
        <v>22</v>
      </c>
      <c r="B414" t="s">
        <v>1438</v>
      </c>
      <c r="C414" t="s">
        <v>24</v>
      </c>
      <c r="D414" t="s">
        <v>2005</v>
      </c>
      <c r="E414" t="s">
        <v>395</v>
      </c>
      <c r="F414" t="s">
        <v>46</v>
      </c>
      <c r="G414" t="s">
        <v>28</v>
      </c>
      <c r="H414">
        <v>2</v>
      </c>
      <c r="I414" s="1" t="s">
        <v>2023</v>
      </c>
      <c r="J414" s="1" t="s">
        <v>2027</v>
      </c>
      <c r="K414">
        <v>1238</v>
      </c>
      <c r="L414">
        <v>605</v>
      </c>
      <c r="M414">
        <v>228</v>
      </c>
      <c r="N414">
        <v>148</v>
      </c>
      <c r="O414" s="2" t="s">
        <v>2028</v>
      </c>
      <c r="P414">
        <v>1</v>
      </c>
      <c r="Q414" t="s">
        <v>2029</v>
      </c>
      <c r="R414">
        <v>0</v>
      </c>
      <c r="S414" t="s">
        <v>2030</v>
      </c>
      <c r="T414">
        <v>1</v>
      </c>
      <c r="U414" t="s">
        <v>2031</v>
      </c>
      <c r="V414" t="s">
        <v>2012</v>
      </c>
    </row>
    <row r="415" spans="1:22" hidden="1" x14ac:dyDescent="0.2">
      <c r="A415" t="s">
        <v>22</v>
      </c>
      <c r="B415" t="s">
        <v>1438</v>
      </c>
      <c r="C415" t="s">
        <v>24</v>
      </c>
      <c r="D415" t="s">
        <v>2005</v>
      </c>
      <c r="E415" t="s">
        <v>395</v>
      </c>
      <c r="F415" t="s">
        <v>46</v>
      </c>
      <c r="G415" t="s">
        <v>28</v>
      </c>
      <c r="H415">
        <v>3</v>
      </c>
      <c r="I415" s="1" t="s">
        <v>2023</v>
      </c>
      <c r="J415" s="1" t="s">
        <v>2032</v>
      </c>
      <c r="K415">
        <v>1238</v>
      </c>
      <c r="L415">
        <v>605</v>
      </c>
      <c r="M415">
        <v>227</v>
      </c>
      <c r="N415">
        <v>150</v>
      </c>
      <c r="O415" s="2" t="s">
        <v>2033</v>
      </c>
      <c r="P415">
        <v>1</v>
      </c>
      <c r="Q415" t="s">
        <v>2034</v>
      </c>
      <c r="R415">
        <v>1</v>
      </c>
      <c r="S415" t="s">
        <v>2035</v>
      </c>
      <c r="T415">
        <v>1</v>
      </c>
      <c r="U415" t="s">
        <v>2036</v>
      </c>
      <c r="V415" t="s">
        <v>2012</v>
      </c>
    </row>
    <row r="416" spans="1:22" hidden="1" x14ac:dyDescent="0.2">
      <c r="A416" t="s">
        <v>22</v>
      </c>
      <c r="B416" t="s">
        <v>1438</v>
      </c>
      <c r="C416" t="s">
        <v>24</v>
      </c>
      <c r="D416" t="s">
        <v>2005</v>
      </c>
      <c r="E416" t="s">
        <v>395</v>
      </c>
      <c r="F416" t="s">
        <v>61</v>
      </c>
      <c r="G416" t="s">
        <v>28</v>
      </c>
      <c r="H416">
        <v>1</v>
      </c>
      <c r="I416" s="1" t="s">
        <v>2037</v>
      </c>
      <c r="J416" s="1" t="s">
        <v>2038</v>
      </c>
      <c r="K416">
        <v>1273</v>
      </c>
      <c r="L416">
        <v>627</v>
      </c>
      <c r="M416">
        <v>208</v>
      </c>
      <c r="N416">
        <v>115</v>
      </c>
      <c r="O416" s="2" t="s">
        <v>2039</v>
      </c>
      <c r="P416">
        <v>1</v>
      </c>
      <c r="Q416" t="s">
        <v>2040</v>
      </c>
      <c r="R416">
        <v>1</v>
      </c>
      <c r="S416" t="s">
        <v>2041</v>
      </c>
      <c r="T416">
        <v>1</v>
      </c>
      <c r="U416" t="s">
        <v>939</v>
      </c>
      <c r="V416" t="s">
        <v>2012</v>
      </c>
    </row>
    <row r="417" spans="1:22" hidden="1" x14ac:dyDescent="0.2">
      <c r="A417" t="s">
        <v>22</v>
      </c>
      <c r="B417" t="s">
        <v>1438</v>
      </c>
      <c r="C417" t="s">
        <v>24</v>
      </c>
      <c r="D417" t="s">
        <v>2005</v>
      </c>
      <c r="E417" t="s">
        <v>395</v>
      </c>
      <c r="F417" t="s">
        <v>61</v>
      </c>
      <c r="G417" t="s">
        <v>28</v>
      </c>
      <c r="H417">
        <v>2</v>
      </c>
      <c r="I417" s="1" t="s">
        <v>2037</v>
      </c>
      <c r="J417" s="1" t="s">
        <v>2042</v>
      </c>
      <c r="K417">
        <v>1273</v>
      </c>
      <c r="L417">
        <v>627</v>
      </c>
      <c r="M417">
        <v>226</v>
      </c>
      <c r="N417">
        <v>132</v>
      </c>
      <c r="O417" s="2" t="s">
        <v>2043</v>
      </c>
      <c r="P417">
        <v>1</v>
      </c>
      <c r="Q417" t="s">
        <v>2044</v>
      </c>
      <c r="R417">
        <v>1</v>
      </c>
      <c r="S417" t="s">
        <v>2045</v>
      </c>
      <c r="T417">
        <v>1</v>
      </c>
      <c r="U417" t="s">
        <v>2046</v>
      </c>
      <c r="V417" t="s">
        <v>2012</v>
      </c>
    </row>
    <row r="418" spans="1:22" hidden="1" x14ac:dyDescent="0.2">
      <c r="A418" t="s">
        <v>22</v>
      </c>
      <c r="B418" t="s">
        <v>1438</v>
      </c>
      <c r="C418" t="s">
        <v>24</v>
      </c>
      <c r="D418" t="s">
        <v>2005</v>
      </c>
      <c r="E418" t="s">
        <v>395</v>
      </c>
      <c r="F418" t="s">
        <v>61</v>
      </c>
      <c r="G418" t="s">
        <v>28</v>
      </c>
      <c r="H418">
        <v>3</v>
      </c>
      <c r="I418" s="1" t="s">
        <v>2037</v>
      </c>
      <c r="J418" s="1" t="s">
        <v>2047</v>
      </c>
      <c r="K418">
        <v>1273</v>
      </c>
      <c r="L418">
        <v>627</v>
      </c>
      <c r="M418">
        <v>210</v>
      </c>
      <c r="N418">
        <v>122</v>
      </c>
      <c r="O418" s="2" t="s">
        <v>2048</v>
      </c>
      <c r="P418">
        <v>1</v>
      </c>
      <c r="Q418" t="s">
        <v>2049</v>
      </c>
      <c r="R418">
        <v>1</v>
      </c>
      <c r="S418" t="s">
        <v>2050</v>
      </c>
      <c r="T418">
        <v>1</v>
      </c>
      <c r="U418" t="s">
        <v>939</v>
      </c>
      <c r="V418" t="s">
        <v>2012</v>
      </c>
    </row>
    <row r="419" spans="1:22" hidden="1" x14ac:dyDescent="0.2">
      <c r="A419" t="s">
        <v>76</v>
      </c>
      <c r="B419" t="s">
        <v>1438</v>
      </c>
      <c r="C419" t="s">
        <v>24</v>
      </c>
      <c r="D419" t="s">
        <v>2005</v>
      </c>
      <c r="E419" t="s">
        <v>395</v>
      </c>
      <c r="F419" t="s">
        <v>77</v>
      </c>
      <c r="G419" t="s">
        <v>28</v>
      </c>
      <c r="H419">
        <v>1</v>
      </c>
      <c r="I419" s="1" t="s">
        <v>2037</v>
      </c>
      <c r="J419" s="1" t="s">
        <v>2051</v>
      </c>
      <c r="K419">
        <v>1112</v>
      </c>
      <c r="L419">
        <v>627</v>
      </c>
      <c r="M419">
        <v>173</v>
      </c>
      <c r="N419">
        <v>113</v>
      </c>
      <c r="O419" s="2" t="s">
        <v>2052</v>
      </c>
      <c r="P419">
        <v>0</v>
      </c>
      <c r="Q419" t="s">
        <v>2053</v>
      </c>
      <c r="R419">
        <v>1</v>
      </c>
      <c r="S419" t="s">
        <v>2054</v>
      </c>
      <c r="T419">
        <v>1</v>
      </c>
      <c r="U419" t="s">
        <v>2055</v>
      </c>
      <c r="V419" t="s">
        <v>2012</v>
      </c>
    </row>
    <row r="420" spans="1:22" hidden="1" x14ac:dyDescent="0.2">
      <c r="A420" t="s">
        <v>76</v>
      </c>
      <c r="B420" t="s">
        <v>1438</v>
      </c>
      <c r="C420" t="s">
        <v>24</v>
      </c>
      <c r="D420" t="s">
        <v>2005</v>
      </c>
      <c r="E420" t="s">
        <v>395</v>
      </c>
      <c r="F420" t="s">
        <v>77</v>
      </c>
      <c r="G420" t="s">
        <v>28</v>
      </c>
      <c r="H420">
        <v>2</v>
      </c>
      <c r="I420" s="1" t="s">
        <v>2037</v>
      </c>
      <c r="J420" s="1" t="s">
        <v>2056</v>
      </c>
      <c r="K420">
        <v>1112</v>
      </c>
      <c r="L420">
        <v>627</v>
      </c>
      <c r="M420">
        <v>150</v>
      </c>
      <c r="N420">
        <v>92</v>
      </c>
      <c r="O420" s="2" t="s">
        <v>2057</v>
      </c>
      <c r="P420">
        <v>0</v>
      </c>
      <c r="Q420" t="s">
        <v>2058</v>
      </c>
      <c r="R420">
        <v>1</v>
      </c>
      <c r="S420" t="s">
        <v>2059</v>
      </c>
      <c r="T420">
        <v>1</v>
      </c>
      <c r="U420" t="s">
        <v>2060</v>
      </c>
      <c r="V420" t="s">
        <v>2012</v>
      </c>
    </row>
    <row r="421" spans="1:22" hidden="1" x14ac:dyDescent="0.2">
      <c r="A421" t="s">
        <v>76</v>
      </c>
      <c r="B421" t="s">
        <v>1438</v>
      </c>
      <c r="C421" t="s">
        <v>24</v>
      </c>
      <c r="D421" t="s">
        <v>2005</v>
      </c>
      <c r="E421" t="s">
        <v>395</v>
      </c>
      <c r="F421" t="s">
        <v>77</v>
      </c>
      <c r="G421" t="s">
        <v>28</v>
      </c>
      <c r="H421">
        <v>3</v>
      </c>
      <c r="I421" s="1" t="s">
        <v>2037</v>
      </c>
      <c r="J421" s="1" t="s">
        <v>2061</v>
      </c>
      <c r="K421">
        <v>1112</v>
      </c>
      <c r="L421">
        <v>627</v>
      </c>
      <c r="M421">
        <v>172</v>
      </c>
      <c r="N421">
        <v>110</v>
      </c>
      <c r="O421" s="2" t="s">
        <v>2062</v>
      </c>
      <c r="P421">
        <v>0</v>
      </c>
      <c r="Q421" t="s">
        <v>2063</v>
      </c>
      <c r="R421">
        <v>1</v>
      </c>
      <c r="S421" t="s">
        <v>2064</v>
      </c>
      <c r="T421">
        <v>1</v>
      </c>
      <c r="U421" t="s">
        <v>1965</v>
      </c>
      <c r="V421" t="s">
        <v>2012</v>
      </c>
    </row>
    <row r="422" spans="1:22" hidden="1" x14ac:dyDescent="0.2">
      <c r="A422" t="s">
        <v>93</v>
      </c>
      <c r="B422" t="s">
        <v>1438</v>
      </c>
      <c r="C422" t="s">
        <v>24</v>
      </c>
      <c r="D422" t="s">
        <v>2005</v>
      </c>
      <c r="E422" t="s">
        <v>395</v>
      </c>
      <c r="F422" t="s">
        <v>94</v>
      </c>
      <c r="G422" t="s">
        <v>28</v>
      </c>
      <c r="H422">
        <v>1</v>
      </c>
      <c r="I422" s="1" t="s">
        <v>2006</v>
      </c>
      <c r="J422" s="1" t="s">
        <v>2065</v>
      </c>
      <c r="K422">
        <v>1056</v>
      </c>
      <c r="L422">
        <v>591</v>
      </c>
      <c r="M422">
        <v>88</v>
      </c>
      <c r="N422">
        <v>55</v>
      </c>
      <c r="O422" s="2" t="s">
        <v>2066</v>
      </c>
      <c r="P422">
        <v>1</v>
      </c>
      <c r="Q422" t="s">
        <v>2067</v>
      </c>
      <c r="R422">
        <v>1</v>
      </c>
      <c r="S422" t="s">
        <v>2068</v>
      </c>
      <c r="T422">
        <v>1</v>
      </c>
      <c r="U422" t="s">
        <v>2069</v>
      </c>
      <c r="V422" t="s">
        <v>2012</v>
      </c>
    </row>
    <row r="423" spans="1:22" hidden="1" x14ac:dyDescent="0.2">
      <c r="A423" t="s">
        <v>93</v>
      </c>
      <c r="B423" t="s">
        <v>1438</v>
      </c>
      <c r="C423" t="s">
        <v>24</v>
      </c>
      <c r="D423" t="s">
        <v>2005</v>
      </c>
      <c r="E423" t="s">
        <v>395</v>
      </c>
      <c r="F423" t="s">
        <v>94</v>
      </c>
      <c r="G423" t="s">
        <v>28</v>
      </c>
      <c r="H423">
        <v>2</v>
      </c>
      <c r="I423" s="1" t="s">
        <v>2006</v>
      </c>
      <c r="J423" s="1" t="s">
        <v>2070</v>
      </c>
      <c r="K423">
        <v>1056</v>
      </c>
      <c r="L423">
        <v>591</v>
      </c>
      <c r="M423">
        <v>116</v>
      </c>
      <c r="N423">
        <v>74</v>
      </c>
      <c r="O423" s="2" t="s">
        <v>2071</v>
      </c>
      <c r="P423">
        <v>1</v>
      </c>
      <c r="Q423" t="s">
        <v>2072</v>
      </c>
      <c r="R423">
        <v>1</v>
      </c>
      <c r="S423" t="s">
        <v>2073</v>
      </c>
      <c r="T423">
        <v>1</v>
      </c>
      <c r="U423" t="s">
        <v>375</v>
      </c>
      <c r="V423" t="s">
        <v>2012</v>
      </c>
    </row>
    <row r="424" spans="1:22" hidden="1" x14ac:dyDescent="0.2">
      <c r="A424" t="s">
        <v>93</v>
      </c>
      <c r="B424" t="s">
        <v>1438</v>
      </c>
      <c r="C424" t="s">
        <v>24</v>
      </c>
      <c r="D424" t="s">
        <v>2005</v>
      </c>
      <c r="E424" t="s">
        <v>395</v>
      </c>
      <c r="F424" t="s">
        <v>94</v>
      </c>
      <c r="G424" t="s">
        <v>28</v>
      </c>
      <c r="H424">
        <v>3</v>
      </c>
      <c r="I424" s="1" t="s">
        <v>2006</v>
      </c>
      <c r="J424" s="1" t="s">
        <v>2074</v>
      </c>
      <c r="K424">
        <v>1056</v>
      </c>
      <c r="L424">
        <v>591</v>
      </c>
      <c r="M424">
        <v>111</v>
      </c>
      <c r="N424">
        <v>71</v>
      </c>
      <c r="O424" s="2" t="s">
        <v>2075</v>
      </c>
      <c r="P424">
        <v>1</v>
      </c>
      <c r="Q424" t="s">
        <v>2076</v>
      </c>
      <c r="R424">
        <v>1</v>
      </c>
      <c r="S424" t="s">
        <v>2077</v>
      </c>
      <c r="T424">
        <v>1</v>
      </c>
      <c r="U424" t="s">
        <v>109</v>
      </c>
      <c r="V424" t="s">
        <v>2012</v>
      </c>
    </row>
    <row r="425" spans="1:22" hidden="1" x14ac:dyDescent="0.2">
      <c r="A425" t="s">
        <v>93</v>
      </c>
      <c r="B425" t="s">
        <v>1438</v>
      </c>
      <c r="C425" t="s">
        <v>24</v>
      </c>
      <c r="D425" t="s">
        <v>2005</v>
      </c>
      <c r="E425" t="s">
        <v>395</v>
      </c>
      <c r="F425" t="s">
        <v>110</v>
      </c>
      <c r="G425" t="s">
        <v>28</v>
      </c>
      <c r="H425">
        <v>1</v>
      </c>
      <c r="I425" s="1" t="s">
        <v>2023</v>
      </c>
      <c r="J425" s="1" t="s">
        <v>2078</v>
      </c>
      <c r="K425">
        <v>1081</v>
      </c>
      <c r="L425">
        <v>605</v>
      </c>
      <c r="M425">
        <v>178</v>
      </c>
      <c r="N425">
        <v>127</v>
      </c>
      <c r="O425" s="2" t="s">
        <v>2079</v>
      </c>
      <c r="P425">
        <v>1</v>
      </c>
      <c r="Q425" t="s">
        <v>2080</v>
      </c>
      <c r="R425">
        <v>1</v>
      </c>
      <c r="S425" t="s">
        <v>2081</v>
      </c>
      <c r="T425">
        <v>1</v>
      </c>
      <c r="U425" t="s">
        <v>2082</v>
      </c>
      <c r="V425" t="s">
        <v>2012</v>
      </c>
    </row>
    <row r="426" spans="1:22" hidden="1" x14ac:dyDescent="0.2">
      <c r="A426" t="s">
        <v>93</v>
      </c>
      <c r="B426" t="s">
        <v>1438</v>
      </c>
      <c r="C426" t="s">
        <v>24</v>
      </c>
      <c r="D426" t="s">
        <v>2005</v>
      </c>
      <c r="E426" t="s">
        <v>395</v>
      </c>
      <c r="F426" t="s">
        <v>110</v>
      </c>
      <c r="G426" t="s">
        <v>28</v>
      </c>
      <c r="H426">
        <v>2</v>
      </c>
      <c r="I426" s="1" t="s">
        <v>2023</v>
      </c>
      <c r="J426" s="1" t="s">
        <v>2083</v>
      </c>
      <c r="K426">
        <v>1081</v>
      </c>
      <c r="L426">
        <v>605</v>
      </c>
      <c r="M426">
        <v>155</v>
      </c>
      <c r="N426">
        <v>107</v>
      </c>
      <c r="O426">
        <v>2.96999192237854</v>
      </c>
      <c r="P426">
        <v>1</v>
      </c>
      <c r="Q426" t="s">
        <v>2084</v>
      </c>
      <c r="R426">
        <v>1</v>
      </c>
      <c r="S426" t="s">
        <v>2085</v>
      </c>
      <c r="T426">
        <v>1</v>
      </c>
      <c r="U426" t="s">
        <v>2086</v>
      </c>
      <c r="V426" t="s">
        <v>2012</v>
      </c>
    </row>
    <row r="427" spans="1:22" hidden="1" x14ac:dyDescent="0.2">
      <c r="A427" t="s">
        <v>93</v>
      </c>
      <c r="B427" t="s">
        <v>1438</v>
      </c>
      <c r="C427" t="s">
        <v>24</v>
      </c>
      <c r="D427" t="s">
        <v>2005</v>
      </c>
      <c r="E427" t="s">
        <v>395</v>
      </c>
      <c r="F427" t="s">
        <v>110</v>
      </c>
      <c r="G427" t="s">
        <v>28</v>
      </c>
      <c r="H427">
        <v>3</v>
      </c>
      <c r="I427" s="1" t="s">
        <v>2023</v>
      </c>
      <c r="J427" s="1" t="s">
        <v>2087</v>
      </c>
      <c r="K427">
        <v>1081</v>
      </c>
      <c r="L427">
        <v>605</v>
      </c>
      <c r="M427">
        <v>188</v>
      </c>
      <c r="N427">
        <v>131</v>
      </c>
      <c r="O427" s="2" t="s">
        <v>2088</v>
      </c>
      <c r="P427">
        <v>1</v>
      </c>
      <c r="Q427" t="s">
        <v>2089</v>
      </c>
      <c r="R427">
        <v>1</v>
      </c>
      <c r="S427" t="s">
        <v>2090</v>
      </c>
      <c r="T427">
        <v>1</v>
      </c>
      <c r="U427" t="s">
        <v>2091</v>
      </c>
      <c r="V427" t="s">
        <v>2012</v>
      </c>
    </row>
    <row r="428" spans="1:22" hidden="1" x14ac:dyDescent="0.2">
      <c r="A428" t="s">
        <v>93</v>
      </c>
      <c r="B428" t="s">
        <v>1438</v>
      </c>
      <c r="C428" t="s">
        <v>24</v>
      </c>
      <c r="D428" t="s">
        <v>2005</v>
      </c>
      <c r="E428" t="s">
        <v>395</v>
      </c>
      <c r="F428" t="s">
        <v>125</v>
      </c>
      <c r="G428" t="s">
        <v>28</v>
      </c>
      <c r="H428">
        <v>1</v>
      </c>
      <c r="I428" s="1" t="s">
        <v>2037</v>
      </c>
      <c r="J428" s="1" t="s">
        <v>2092</v>
      </c>
      <c r="K428">
        <v>1112</v>
      </c>
      <c r="L428">
        <v>627</v>
      </c>
      <c r="M428">
        <v>163</v>
      </c>
      <c r="N428">
        <v>104</v>
      </c>
      <c r="O428" s="2" t="s">
        <v>2093</v>
      </c>
      <c r="P428">
        <v>1</v>
      </c>
      <c r="Q428" t="s">
        <v>2094</v>
      </c>
      <c r="R428">
        <v>1</v>
      </c>
      <c r="S428" t="s">
        <v>2095</v>
      </c>
      <c r="T428">
        <v>1</v>
      </c>
      <c r="U428" t="s">
        <v>2096</v>
      </c>
      <c r="V428" t="s">
        <v>2012</v>
      </c>
    </row>
    <row r="429" spans="1:22" hidden="1" x14ac:dyDescent="0.2">
      <c r="A429" t="s">
        <v>93</v>
      </c>
      <c r="B429" t="s">
        <v>1438</v>
      </c>
      <c r="C429" t="s">
        <v>24</v>
      </c>
      <c r="D429" t="s">
        <v>2005</v>
      </c>
      <c r="E429" t="s">
        <v>395</v>
      </c>
      <c r="F429" t="s">
        <v>125</v>
      </c>
      <c r="G429" t="s">
        <v>28</v>
      </c>
      <c r="H429">
        <v>2</v>
      </c>
      <c r="I429" s="1" t="s">
        <v>2037</v>
      </c>
      <c r="J429" s="1" t="s">
        <v>2097</v>
      </c>
      <c r="K429">
        <v>1112</v>
      </c>
      <c r="L429">
        <v>627</v>
      </c>
      <c r="M429">
        <v>209</v>
      </c>
      <c r="N429">
        <v>142</v>
      </c>
      <c r="O429" s="2" t="s">
        <v>2098</v>
      </c>
      <c r="P429">
        <v>1</v>
      </c>
      <c r="Q429" t="s">
        <v>2099</v>
      </c>
      <c r="R429">
        <v>1</v>
      </c>
      <c r="S429" t="s">
        <v>2100</v>
      </c>
      <c r="T429">
        <v>1</v>
      </c>
      <c r="U429" t="s">
        <v>611</v>
      </c>
      <c r="V429" t="s">
        <v>2012</v>
      </c>
    </row>
    <row r="430" spans="1:22" hidden="1" x14ac:dyDescent="0.2">
      <c r="A430" t="s">
        <v>93</v>
      </c>
      <c r="B430" t="s">
        <v>1438</v>
      </c>
      <c r="C430" t="s">
        <v>24</v>
      </c>
      <c r="D430" t="s">
        <v>2005</v>
      </c>
      <c r="E430" t="s">
        <v>395</v>
      </c>
      <c r="F430" t="s">
        <v>125</v>
      </c>
      <c r="G430" t="s">
        <v>28</v>
      </c>
      <c r="H430">
        <v>3</v>
      </c>
      <c r="I430" s="1" t="s">
        <v>2037</v>
      </c>
      <c r="J430" s="1" t="s">
        <v>2101</v>
      </c>
      <c r="K430">
        <v>1112</v>
      </c>
      <c r="L430">
        <v>627</v>
      </c>
      <c r="M430">
        <v>168</v>
      </c>
      <c r="N430">
        <v>110</v>
      </c>
      <c r="O430" s="2" t="s">
        <v>2102</v>
      </c>
      <c r="P430">
        <v>1</v>
      </c>
      <c r="Q430" t="s">
        <v>2103</v>
      </c>
      <c r="R430">
        <v>1</v>
      </c>
      <c r="S430" t="s">
        <v>2104</v>
      </c>
      <c r="T430">
        <v>1</v>
      </c>
      <c r="U430" t="s">
        <v>1628</v>
      </c>
      <c r="V430" t="s">
        <v>2012</v>
      </c>
    </row>
    <row r="431" spans="1:22" hidden="1" x14ac:dyDescent="0.2">
      <c r="A431" t="s">
        <v>140</v>
      </c>
      <c r="B431" t="s">
        <v>1438</v>
      </c>
      <c r="C431" t="s">
        <v>24</v>
      </c>
      <c r="D431" t="s">
        <v>2005</v>
      </c>
      <c r="E431" t="s">
        <v>395</v>
      </c>
      <c r="F431" t="s">
        <v>141</v>
      </c>
      <c r="G431" t="s">
        <v>28</v>
      </c>
      <c r="H431">
        <v>1</v>
      </c>
      <c r="I431" s="1" t="s">
        <v>2105</v>
      </c>
      <c r="J431" t="s">
        <v>2106</v>
      </c>
      <c r="K431">
        <v>1020</v>
      </c>
      <c r="L431">
        <v>576</v>
      </c>
      <c r="M431">
        <v>356</v>
      </c>
      <c r="N431">
        <v>19</v>
      </c>
      <c r="O431">
        <v>3.7536036968231201</v>
      </c>
      <c r="P431">
        <v>1</v>
      </c>
      <c r="Q431" t="s">
        <v>2107</v>
      </c>
      <c r="R431">
        <v>1</v>
      </c>
      <c r="S431" t="s">
        <v>2108</v>
      </c>
      <c r="T431">
        <v>1</v>
      </c>
      <c r="U431" t="s">
        <v>454</v>
      </c>
      <c r="V431" t="s">
        <v>2012</v>
      </c>
    </row>
    <row r="432" spans="1:22" hidden="1" x14ac:dyDescent="0.2">
      <c r="A432" t="s">
        <v>140</v>
      </c>
      <c r="B432" t="s">
        <v>1438</v>
      </c>
      <c r="C432" t="s">
        <v>24</v>
      </c>
      <c r="D432" t="s">
        <v>2005</v>
      </c>
      <c r="E432" t="s">
        <v>395</v>
      </c>
      <c r="F432" t="s">
        <v>141</v>
      </c>
      <c r="G432" t="s">
        <v>28</v>
      </c>
      <c r="H432">
        <v>2</v>
      </c>
      <c r="I432" s="1" t="s">
        <v>2105</v>
      </c>
      <c r="J432" t="s">
        <v>2109</v>
      </c>
      <c r="K432">
        <v>1020</v>
      </c>
      <c r="L432">
        <v>576</v>
      </c>
      <c r="M432">
        <v>553</v>
      </c>
      <c r="N432">
        <v>24</v>
      </c>
      <c r="O432" s="2" t="s">
        <v>2110</v>
      </c>
      <c r="P432">
        <v>1</v>
      </c>
      <c r="Q432" t="s">
        <v>2111</v>
      </c>
      <c r="R432">
        <v>1</v>
      </c>
      <c r="S432" t="s">
        <v>2112</v>
      </c>
      <c r="T432">
        <v>1</v>
      </c>
      <c r="U432" t="s">
        <v>2113</v>
      </c>
      <c r="V432" t="s">
        <v>2012</v>
      </c>
    </row>
    <row r="433" spans="1:22" hidden="1" x14ac:dyDescent="0.2">
      <c r="A433" t="s">
        <v>140</v>
      </c>
      <c r="B433" t="s">
        <v>1438</v>
      </c>
      <c r="C433" t="s">
        <v>24</v>
      </c>
      <c r="D433" t="s">
        <v>2005</v>
      </c>
      <c r="E433" t="s">
        <v>395</v>
      </c>
      <c r="F433" t="s">
        <v>141</v>
      </c>
      <c r="G433" t="s">
        <v>28</v>
      </c>
      <c r="H433">
        <v>3</v>
      </c>
      <c r="I433" s="1" t="s">
        <v>2105</v>
      </c>
      <c r="J433" t="s">
        <v>2114</v>
      </c>
      <c r="K433">
        <v>1020</v>
      </c>
      <c r="L433">
        <v>576</v>
      </c>
      <c r="M433">
        <v>557</v>
      </c>
      <c r="N433">
        <v>28</v>
      </c>
      <c r="O433" s="2" t="s">
        <v>2115</v>
      </c>
      <c r="P433">
        <v>1</v>
      </c>
      <c r="Q433" t="s">
        <v>2116</v>
      </c>
      <c r="R433">
        <v>1</v>
      </c>
      <c r="S433" t="s">
        <v>2117</v>
      </c>
      <c r="T433">
        <v>1</v>
      </c>
      <c r="U433" t="s">
        <v>2118</v>
      </c>
      <c r="V433" t="s">
        <v>2012</v>
      </c>
    </row>
    <row r="434" spans="1:22" hidden="1" x14ac:dyDescent="0.2">
      <c r="A434" t="s">
        <v>22</v>
      </c>
      <c r="B434" t="s">
        <v>2119</v>
      </c>
      <c r="C434" t="s">
        <v>24</v>
      </c>
      <c r="D434" t="s">
        <v>2120</v>
      </c>
      <c r="E434" t="s">
        <v>26</v>
      </c>
      <c r="F434" t="s">
        <v>27</v>
      </c>
      <c r="G434" t="s">
        <v>28</v>
      </c>
      <c r="H434">
        <v>1</v>
      </c>
      <c r="I434" s="1" t="s">
        <v>2121</v>
      </c>
      <c r="J434" s="1" t="s">
        <v>2122</v>
      </c>
      <c r="K434">
        <v>1262</v>
      </c>
      <c r="L434">
        <v>540</v>
      </c>
      <c r="M434">
        <v>120</v>
      </c>
      <c r="N434">
        <v>71</v>
      </c>
      <c r="O434" s="2" t="s">
        <v>2123</v>
      </c>
      <c r="P434">
        <v>1</v>
      </c>
      <c r="Q434" t="s">
        <v>2124</v>
      </c>
      <c r="R434">
        <v>1</v>
      </c>
      <c r="S434" t="s">
        <v>2125</v>
      </c>
      <c r="T434">
        <v>1</v>
      </c>
      <c r="U434" t="s">
        <v>1046</v>
      </c>
      <c r="V434" t="s">
        <v>2126</v>
      </c>
    </row>
    <row r="435" spans="1:22" hidden="1" x14ac:dyDescent="0.2">
      <c r="A435" t="s">
        <v>22</v>
      </c>
      <c r="B435" t="s">
        <v>2119</v>
      </c>
      <c r="C435" t="s">
        <v>24</v>
      </c>
      <c r="D435" t="s">
        <v>2120</v>
      </c>
      <c r="E435" t="s">
        <v>26</v>
      </c>
      <c r="F435" t="s">
        <v>27</v>
      </c>
      <c r="G435" t="s">
        <v>28</v>
      </c>
      <c r="H435">
        <v>2</v>
      </c>
      <c r="I435" s="1" t="s">
        <v>2121</v>
      </c>
      <c r="J435" s="1" t="s">
        <v>2127</v>
      </c>
      <c r="K435">
        <v>1262</v>
      </c>
      <c r="L435">
        <v>540</v>
      </c>
      <c r="M435">
        <v>115</v>
      </c>
      <c r="N435">
        <v>65</v>
      </c>
      <c r="O435">
        <v>3.0704319477081299</v>
      </c>
      <c r="P435">
        <v>1</v>
      </c>
      <c r="Q435" t="s">
        <v>2128</v>
      </c>
      <c r="R435">
        <v>1</v>
      </c>
      <c r="S435" t="s">
        <v>2129</v>
      </c>
      <c r="T435">
        <v>1</v>
      </c>
      <c r="U435" t="s">
        <v>2130</v>
      </c>
      <c r="V435" t="s">
        <v>2126</v>
      </c>
    </row>
    <row r="436" spans="1:22" hidden="1" x14ac:dyDescent="0.2">
      <c r="A436" t="s">
        <v>22</v>
      </c>
      <c r="B436" t="s">
        <v>2119</v>
      </c>
      <c r="C436" t="s">
        <v>24</v>
      </c>
      <c r="D436" t="s">
        <v>2120</v>
      </c>
      <c r="E436" t="s">
        <v>26</v>
      </c>
      <c r="F436" t="s">
        <v>27</v>
      </c>
      <c r="G436" t="s">
        <v>28</v>
      </c>
      <c r="H436">
        <v>3</v>
      </c>
      <c r="I436" s="1" t="s">
        <v>2121</v>
      </c>
      <c r="J436" s="1" t="s">
        <v>2131</v>
      </c>
      <c r="K436">
        <v>1262</v>
      </c>
      <c r="L436">
        <v>540</v>
      </c>
      <c r="M436">
        <v>118</v>
      </c>
      <c r="N436">
        <v>71</v>
      </c>
      <c r="O436" s="2" t="s">
        <v>2132</v>
      </c>
      <c r="P436">
        <v>1</v>
      </c>
      <c r="Q436" t="s">
        <v>2133</v>
      </c>
      <c r="R436">
        <v>1</v>
      </c>
      <c r="S436" t="s">
        <v>2134</v>
      </c>
      <c r="T436">
        <v>1</v>
      </c>
      <c r="U436" t="s">
        <v>2135</v>
      </c>
      <c r="V436" t="s">
        <v>2126</v>
      </c>
    </row>
    <row r="437" spans="1:22" hidden="1" x14ac:dyDescent="0.2">
      <c r="A437" t="s">
        <v>22</v>
      </c>
      <c r="B437" t="s">
        <v>2119</v>
      </c>
      <c r="C437" t="s">
        <v>24</v>
      </c>
      <c r="D437" t="s">
        <v>2120</v>
      </c>
      <c r="E437" t="s">
        <v>26</v>
      </c>
      <c r="F437" t="s">
        <v>46</v>
      </c>
      <c r="G437" t="s">
        <v>28</v>
      </c>
      <c r="H437">
        <v>1</v>
      </c>
      <c r="I437" s="1" t="s">
        <v>2136</v>
      </c>
      <c r="J437" s="1" t="s">
        <v>2137</v>
      </c>
      <c r="K437">
        <v>1290</v>
      </c>
      <c r="L437">
        <v>554</v>
      </c>
      <c r="M437">
        <v>222</v>
      </c>
      <c r="N437">
        <v>142</v>
      </c>
      <c r="O437" s="2" t="s">
        <v>2138</v>
      </c>
      <c r="P437">
        <v>0</v>
      </c>
      <c r="Q437" t="s">
        <v>2139</v>
      </c>
      <c r="R437">
        <v>1</v>
      </c>
      <c r="S437" t="s">
        <v>2140</v>
      </c>
      <c r="T437">
        <v>1</v>
      </c>
      <c r="U437" t="s">
        <v>82</v>
      </c>
      <c r="V437" t="s">
        <v>2126</v>
      </c>
    </row>
    <row r="438" spans="1:22" hidden="1" x14ac:dyDescent="0.2">
      <c r="A438" t="s">
        <v>22</v>
      </c>
      <c r="B438" t="s">
        <v>2119</v>
      </c>
      <c r="C438" t="s">
        <v>24</v>
      </c>
      <c r="D438" t="s">
        <v>2120</v>
      </c>
      <c r="E438" t="s">
        <v>26</v>
      </c>
      <c r="F438" t="s">
        <v>46</v>
      </c>
      <c r="G438" t="s">
        <v>28</v>
      </c>
      <c r="H438">
        <v>2</v>
      </c>
      <c r="I438" s="1" t="s">
        <v>2136</v>
      </c>
      <c r="J438" s="1" t="s">
        <v>2141</v>
      </c>
      <c r="K438">
        <v>1290</v>
      </c>
      <c r="L438">
        <v>554</v>
      </c>
      <c r="M438">
        <v>199</v>
      </c>
      <c r="N438">
        <v>124</v>
      </c>
      <c r="O438" s="2" t="s">
        <v>2142</v>
      </c>
      <c r="P438">
        <v>1</v>
      </c>
      <c r="Q438" t="s">
        <v>2143</v>
      </c>
      <c r="R438">
        <v>1</v>
      </c>
      <c r="S438" t="s">
        <v>2144</v>
      </c>
      <c r="T438">
        <v>1</v>
      </c>
      <c r="U438" t="s">
        <v>1163</v>
      </c>
      <c r="V438" t="s">
        <v>2126</v>
      </c>
    </row>
    <row r="439" spans="1:22" hidden="1" x14ac:dyDescent="0.2">
      <c r="A439" t="s">
        <v>22</v>
      </c>
      <c r="B439" t="s">
        <v>2119</v>
      </c>
      <c r="C439" t="s">
        <v>24</v>
      </c>
      <c r="D439" t="s">
        <v>2120</v>
      </c>
      <c r="E439" t="s">
        <v>26</v>
      </c>
      <c r="F439" t="s">
        <v>46</v>
      </c>
      <c r="G439" t="s">
        <v>28</v>
      </c>
      <c r="H439">
        <v>3</v>
      </c>
      <c r="I439" s="1" t="s">
        <v>2136</v>
      </c>
      <c r="J439" s="1" t="s">
        <v>2145</v>
      </c>
      <c r="K439">
        <v>1290</v>
      </c>
      <c r="L439">
        <v>554</v>
      </c>
      <c r="M439">
        <v>211</v>
      </c>
      <c r="N439">
        <v>132</v>
      </c>
      <c r="O439" s="2" t="s">
        <v>2146</v>
      </c>
      <c r="P439">
        <v>1</v>
      </c>
      <c r="Q439" t="s">
        <v>2147</v>
      </c>
      <c r="R439">
        <v>1</v>
      </c>
      <c r="S439" t="s">
        <v>2129</v>
      </c>
      <c r="T439">
        <v>1</v>
      </c>
      <c r="U439" t="s">
        <v>1623</v>
      </c>
      <c r="V439" t="s">
        <v>2126</v>
      </c>
    </row>
    <row r="440" spans="1:22" hidden="1" x14ac:dyDescent="0.2">
      <c r="A440" t="s">
        <v>22</v>
      </c>
      <c r="B440" t="s">
        <v>2119</v>
      </c>
      <c r="C440" t="s">
        <v>24</v>
      </c>
      <c r="D440" t="s">
        <v>2120</v>
      </c>
      <c r="E440" t="s">
        <v>26</v>
      </c>
      <c r="F440" t="s">
        <v>61</v>
      </c>
      <c r="G440" t="s">
        <v>28</v>
      </c>
      <c r="H440">
        <v>1</v>
      </c>
      <c r="I440" s="1" t="s">
        <v>2148</v>
      </c>
      <c r="J440" s="1" t="s">
        <v>2149</v>
      </c>
      <c r="K440">
        <v>1325</v>
      </c>
      <c r="L440">
        <v>576</v>
      </c>
      <c r="M440">
        <v>207</v>
      </c>
      <c r="N440">
        <v>120</v>
      </c>
      <c r="O440" s="2" t="s">
        <v>2150</v>
      </c>
      <c r="P440">
        <v>1</v>
      </c>
      <c r="Q440" t="s">
        <v>2151</v>
      </c>
      <c r="R440">
        <v>1</v>
      </c>
      <c r="S440" t="s">
        <v>2152</v>
      </c>
      <c r="T440">
        <v>1</v>
      </c>
      <c r="U440" t="s">
        <v>771</v>
      </c>
      <c r="V440" t="s">
        <v>2126</v>
      </c>
    </row>
    <row r="441" spans="1:22" hidden="1" x14ac:dyDescent="0.2">
      <c r="A441" t="s">
        <v>22</v>
      </c>
      <c r="B441" t="s">
        <v>2119</v>
      </c>
      <c r="C441" t="s">
        <v>24</v>
      </c>
      <c r="D441" t="s">
        <v>2120</v>
      </c>
      <c r="E441" t="s">
        <v>26</v>
      </c>
      <c r="F441" t="s">
        <v>61</v>
      </c>
      <c r="G441" t="s">
        <v>28</v>
      </c>
      <c r="H441">
        <v>2</v>
      </c>
      <c r="I441" s="1" t="s">
        <v>2148</v>
      </c>
      <c r="J441" s="1" t="s">
        <v>2153</v>
      </c>
      <c r="K441">
        <v>1325</v>
      </c>
      <c r="L441">
        <v>576</v>
      </c>
      <c r="M441">
        <v>185</v>
      </c>
      <c r="N441">
        <v>98</v>
      </c>
      <c r="O441" s="2" t="s">
        <v>2154</v>
      </c>
      <c r="P441">
        <v>1</v>
      </c>
      <c r="Q441" t="s">
        <v>2155</v>
      </c>
      <c r="R441">
        <v>1</v>
      </c>
      <c r="S441" t="s">
        <v>2156</v>
      </c>
      <c r="T441">
        <v>1</v>
      </c>
      <c r="U441" t="s">
        <v>325</v>
      </c>
      <c r="V441" t="s">
        <v>2126</v>
      </c>
    </row>
    <row r="442" spans="1:22" hidden="1" x14ac:dyDescent="0.2">
      <c r="A442" t="s">
        <v>22</v>
      </c>
      <c r="B442" t="s">
        <v>2119</v>
      </c>
      <c r="C442" t="s">
        <v>24</v>
      </c>
      <c r="D442" t="s">
        <v>2120</v>
      </c>
      <c r="E442" t="s">
        <v>26</v>
      </c>
      <c r="F442" t="s">
        <v>61</v>
      </c>
      <c r="G442" t="s">
        <v>28</v>
      </c>
      <c r="H442">
        <v>3</v>
      </c>
      <c r="I442" s="1" t="s">
        <v>2148</v>
      </c>
      <c r="J442" s="1" t="s">
        <v>2157</v>
      </c>
      <c r="K442">
        <v>1325</v>
      </c>
      <c r="L442">
        <v>576</v>
      </c>
      <c r="M442">
        <v>199</v>
      </c>
      <c r="N442">
        <v>111</v>
      </c>
      <c r="O442" s="2" t="s">
        <v>2158</v>
      </c>
      <c r="P442">
        <v>1</v>
      </c>
      <c r="Q442" t="s">
        <v>2159</v>
      </c>
      <c r="R442">
        <v>1</v>
      </c>
      <c r="S442" t="s">
        <v>2160</v>
      </c>
      <c r="T442">
        <v>1</v>
      </c>
      <c r="U442" t="s">
        <v>2161</v>
      </c>
      <c r="V442" t="s">
        <v>2126</v>
      </c>
    </row>
    <row r="443" spans="1:22" hidden="1" x14ac:dyDescent="0.2">
      <c r="A443" t="s">
        <v>76</v>
      </c>
      <c r="B443" t="s">
        <v>2119</v>
      </c>
      <c r="C443" t="s">
        <v>24</v>
      </c>
      <c r="D443" t="s">
        <v>2120</v>
      </c>
      <c r="E443" t="s">
        <v>26</v>
      </c>
      <c r="F443" t="s">
        <v>77</v>
      </c>
      <c r="G443" t="s">
        <v>28</v>
      </c>
      <c r="H443">
        <v>1</v>
      </c>
      <c r="I443" s="1" t="s">
        <v>2148</v>
      </c>
      <c r="J443" s="1" t="s">
        <v>2162</v>
      </c>
      <c r="K443">
        <v>1108</v>
      </c>
      <c r="L443">
        <v>576</v>
      </c>
      <c r="M443">
        <v>148</v>
      </c>
      <c r="N443">
        <v>93</v>
      </c>
      <c r="O443" s="2" t="s">
        <v>2163</v>
      </c>
      <c r="P443">
        <v>1</v>
      </c>
      <c r="Q443" t="s">
        <v>2164</v>
      </c>
      <c r="R443">
        <v>1</v>
      </c>
      <c r="S443" t="s">
        <v>2165</v>
      </c>
      <c r="T443">
        <v>1</v>
      </c>
      <c r="U443" t="s">
        <v>1628</v>
      </c>
      <c r="V443" t="s">
        <v>2126</v>
      </c>
    </row>
    <row r="444" spans="1:22" hidden="1" x14ac:dyDescent="0.2">
      <c r="A444" t="s">
        <v>76</v>
      </c>
      <c r="B444" t="s">
        <v>2119</v>
      </c>
      <c r="C444" t="s">
        <v>24</v>
      </c>
      <c r="D444" t="s">
        <v>2120</v>
      </c>
      <c r="E444" t="s">
        <v>26</v>
      </c>
      <c r="F444" t="s">
        <v>77</v>
      </c>
      <c r="G444" t="s">
        <v>28</v>
      </c>
      <c r="H444">
        <v>2</v>
      </c>
      <c r="I444" s="1" t="s">
        <v>2148</v>
      </c>
      <c r="J444" s="1" t="s">
        <v>2166</v>
      </c>
      <c r="K444">
        <v>1108</v>
      </c>
      <c r="L444">
        <v>576</v>
      </c>
      <c r="M444">
        <v>163</v>
      </c>
      <c r="N444">
        <v>105</v>
      </c>
      <c r="O444" s="2" t="s">
        <v>2167</v>
      </c>
      <c r="P444">
        <v>1</v>
      </c>
      <c r="Q444" t="s">
        <v>2168</v>
      </c>
      <c r="R444">
        <v>1</v>
      </c>
      <c r="S444" t="s">
        <v>2169</v>
      </c>
      <c r="T444">
        <v>1</v>
      </c>
      <c r="U444" t="s">
        <v>601</v>
      </c>
      <c r="V444" t="s">
        <v>2126</v>
      </c>
    </row>
    <row r="445" spans="1:22" hidden="1" x14ac:dyDescent="0.2">
      <c r="A445" t="s">
        <v>76</v>
      </c>
      <c r="B445" t="s">
        <v>2119</v>
      </c>
      <c r="C445" t="s">
        <v>24</v>
      </c>
      <c r="D445" t="s">
        <v>2120</v>
      </c>
      <c r="E445" t="s">
        <v>26</v>
      </c>
      <c r="F445" t="s">
        <v>77</v>
      </c>
      <c r="G445" t="s">
        <v>28</v>
      </c>
      <c r="H445">
        <v>3</v>
      </c>
      <c r="I445" s="1" t="s">
        <v>2148</v>
      </c>
      <c r="J445" s="1" t="s">
        <v>2170</v>
      </c>
      <c r="K445">
        <v>1108</v>
      </c>
      <c r="L445">
        <v>576</v>
      </c>
      <c r="M445">
        <v>154</v>
      </c>
      <c r="N445">
        <v>98</v>
      </c>
      <c r="O445" s="2" t="s">
        <v>2171</v>
      </c>
      <c r="P445">
        <v>1</v>
      </c>
      <c r="Q445" t="s">
        <v>2172</v>
      </c>
      <c r="R445">
        <v>1</v>
      </c>
      <c r="S445" t="s">
        <v>2173</v>
      </c>
      <c r="T445">
        <v>1</v>
      </c>
      <c r="U445" t="s">
        <v>2174</v>
      </c>
      <c r="V445" t="s">
        <v>2126</v>
      </c>
    </row>
    <row r="446" spans="1:22" hidden="1" x14ac:dyDescent="0.2">
      <c r="A446" t="s">
        <v>93</v>
      </c>
      <c r="B446" t="s">
        <v>2119</v>
      </c>
      <c r="C446" t="s">
        <v>24</v>
      </c>
      <c r="D446" t="s">
        <v>2120</v>
      </c>
      <c r="E446" t="s">
        <v>26</v>
      </c>
      <c r="F446" t="s">
        <v>94</v>
      </c>
      <c r="G446" t="s">
        <v>28</v>
      </c>
      <c r="H446">
        <v>1</v>
      </c>
      <c r="I446" s="1" t="s">
        <v>2121</v>
      </c>
      <c r="J446" s="1" t="s">
        <v>2175</v>
      </c>
      <c r="K446">
        <v>1052</v>
      </c>
      <c r="L446">
        <v>540</v>
      </c>
      <c r="M446">
        <v>107</v>
      </c>
      <c r="N446">
        <v>72</v>
      </c>
      <c r="O446" s="2" t="s">
        <v>2176</v>
      </c>
      <c r="P446">
        <v>1</v>
      </c>
      <c r="Q446" t="s">
        <v>2177</v>
      </c>
      <c r="R446">
        <v>1</v>
      </c>
      <c r="S446" t="s">
        <v>2178</v>
      </c>
      <c r="T446">
        <v>1</v>
      </c>
      <c r="U446" t="s">
        <v>2179</v>
      </c>
      <c r="V446" t="s">
        <v>2126</v>
      </c>
    </row>
    <row r="447" spans="1:22" hidden="1" x14ac:dyDescent="0.2">
      <c r="A447" t="s">
        <v>93</v>
      </c>
      <c r="B447" t="s">
        <v>2119</v>
      </c>
      <c r="C447" t="s">
        <v>24</v>
      </c>
      <c r="D447" t="s">
        <v>2120</v>
      </c>
      <c r="E447" t="s">
        <v>26</v>
      </c>
      <c r="F447" t="s">
        <v>94</v>
      </c>
      <c r="G447" t="s">
        <v>28</v>
      </c>
      <c r="H447">
        <v>2</v>
      </c>
      <c r="I447" s="1" t="s">
        <v>2121</v>
      </c>
      <c r="J447" s="1" t="s">
        <v>2180</v>
      </c>
      <c r="K447">
        <v>1052</v>
      </c>
      <c r="L447">
        <v>540</v>
      </c>
      <c r="M447">
        <v>112</v>
      </c>
      <c r="N447">
        <v>77</v>
      </c>
      <c r="O447" s="2" t="s">
        <v>2181</v>
      </c>
      <c r="P447">
        <v>1</v>
      </c>
      <c r="Q447" t="s">
        <v>2182</v>
      </c>
      <c r="R447">
        <v>1</v>
      </c>
      <c r="S447" t="s">
        <v>2183</v>
      </c>
      <c r="T447">
        <v>1</v>
      </c>
      <c r="U447" t="s">
        <v>2184</v>
      </c>
      <c r="V447" t="s">
        <v>2126</v>
      </c>
    </row>
    <row r="448" spans="1:22" hidden="1" x14ac:dyDescent="0.2">
      <c r="A448" t="s">
        <v>93</v>
      </c>
      <c r="B448" t="s">
        <v>2119</v>
      </c>
      <c r="C448" t="s">
        <v>24</v>
      </c>
      <c r="D448" t="s">
        <v>2120</v>
      </c>
      <c r="E448" t="s">
        <v>26</v>
      </c>
      <c r="F448" t="s">
        <v>94</v>
      </c>
      <c r="G448" t="s">
        <v>28</v>
      </c>
      <c r="H448">
        <v>3</v>
      </c>
      <c r="I448" s="1" t="s">
        <v>2121</v>
      </c>
      <c r="J448" s="1" t="s">
        <v>2185</v>
      </c>
      <c r="K448">
        <v>1052</v>
      </c>
      <c r="L448">
        <v>540</v>
      </c>
      <c r="M448">
        <v>107</v>
      </c>
      <c r="N448">
        <v>70</v>
      </c>
      <c r="O448" s="2" t="s">
        <v>2186</v>
      </c>
      <c r="P448">
        <v>1</v>
      </c>
      <c r="Q448" t="s">
        <v>2187</v>
      </c>
      <c r="R448">
        <v>1</v>
      </c>
      <c r="S448" t="s">
        <v>2188</v>
      </c>
      <c r="T448">
        <v>1</v>
      </c>
      <c r="U448" t="s">
        <v>2189</v>
      </c>
      <c r="V448" t="s">
        <v>2126</v>
      </c>
    </row>
    <row r="449" spans="1:22" hidden="1" x14ac:dyDescent="0.2">
      <c r="A449" t="s">
        <v>93</v>
      </c>
      <c r="B449" t="s">
        <v>2119</v>
      </c>
      <c r="C449" t="s">
        <v>24</v>
      </c>
      <c r="D449" t="s">
        <v>2120</v>
      </c>
      <c r="E449" t="s">
        <v>26</v>
      </c>
      <c r="F449" t="s">
        <v>110</v>
      </c>
      <c r="G449" t="s">
        <v>28</v>
      </c>
      <c r="H449">
        <v>1</v>
      </c>
      <c r="I449" s="1" t="s">
        <v>2136</v>
      </c>
      <c r="J449" s="1" t="s">
        <v>2190</v>
      </c>
      <c r="K449">
        <v>1077</v>
      </c>
      <c r="L449">
        <v>554</v>
      </c>
      <c r="M449">
        <v>177</v>
      </c>
      <c r="N449">
        <v>128</v>
      </c>
      <c r="O449" s="2" t="s">
        <v>2191</v>
      </c>
      <c r="P449">
        <v>1</v>
      </c>
      <c r="Q449" t="s">
        <v>2192</v>
      </c>
      <c r="R449">
        <v>1</v>
      </c>
      <c r="S449" t="s">
        <v>2193</v>
      </c>
      <c r="T449">
        <v>1</v>
      </c>
      <c r="U449" t="s">
        <v>339</v>
      </c>
      <c r="V449" t="s">
        <v>2126</v>
      </c>
    </row>
    <row r="450" spans="1:22" hidden="1" x14ac:dyDescent="0.2">
      <c r="A450" t="s">
        <v>93</v>
      </c>
      <c r="B450" t="s">
        <v>2119</v>
      </c>
      <c r="C450" t="s">
        <v>24</v>
      </c>
      <c r="D450" t="s">
        <v>2120</v>
      </c>
      <c r="E450" t="s">
        <v>26</v>
      </c>
      <c r="F450" t="s">
        <v>110</v>
      </c>
      <c r="G450" t="s">
        <v>28</v>
      </c>
      <c r="H450">
        <v>2</v>
      </c>
      <c r="I450" s="1" t="s">
        <v>2136</v>
      </c>
      <c r="J450" s="1" t="s">
        <v>2194</v>
      </c>
      <c r="K450">
        <v>1077</v>
      </c>
      <c r="L450">
        <v>554</v>
      </c>
      <c r="M450">
        <v>175</v>
      </c>
      <c r="N450">
        <v>119</v>
      </c>
      <c r="O450" s="2" t="s">
        <v>2195</v>
      </c>
      <c r="P450">
        <v>1</v>
      </c>
      <c r="Q450" t="s">
        <v>2196</v>
      </c>
      <c r="R450">
        <v>1</v>
      </c>
      <c r="S450" t="s">
        <v>2197</v>
      </c>
      <c r="T450">
        <v>1</v>
      </c>
      <c r="U450" t="s">
        <v>45</v>
      </c>
      <c r="V450" t="s">
        <v>2126</v>
      </c>
    </row>
    <row r="451" spans="1:22" hidden="1" x14ac:dyDescent="0.2">
      <c r="A451" t="s">
        <v>93</v>
      </c>
      <c r="B451" t="s">
        <v>2119</v>
      </c>
      <c r="C451" t="s">
        <v>24</v>
      </c>
      <c r="D451" t="s">
        <v>2120</v>
      </c>
      <c r="E451" t="s">
        <v>26</v>
      </c>
      <c r="F451" t="s">
        <v>110</v>
      </c>
      <c r="G451" t="s">
        <v>28</v>
      </c>
      <c r="H451">
        <v>3</v>
      </c>
      <c r="I451" s="1" t="s">
        <v>2136</v>
      </c>
      <c r="J451" s="1" t="s">
        <v>2198</v>
      </c>
      <c r="K451">
        <v>1077</v>
      </c>
      <c r="L451">
        <v>554</v>
      </c>
      <c r="M451">
        <v>193</v>
      </c>
      <c r="N451">
        <v>141</v>
      </c>
      <c r="O451" s="2" t="s">
        <v>2199</v>
      </c>
      <c r="P451">
        <v>1</v>
      </c>
      <c r="Q451" t="s">
        <v>2200</v>
      </c>
      <c r="R451">
        <v>1</v>
      </c>
      <c r="S451" t="s">
        <v>2201</v>
      </c>
      <c r="T451">
        <v>1</v>
      </c>
      <c r="U451" t="s">
        <v>2202</v>
      </c>
      <c r="V451" t="s">
        <v>2126</v>
      </c>
    </row>
    <row r="452" spans="1:22" hidden="1" x14ac:dyDescent="0.2">
      <c r="A452" t="s">
        <v>93</v>
      </c>
      <c r="B452" t="s">
        <v>2119</v>
      </c>
      <c r="C452" t="s">
        <v>24</v>
      </c>
      <c r="D452" t="s">
        <v>2120</v>
      </c>
      <c r="E452" t="s">
        <v>26</v>
      </c>
      <c r="F452" t="s">
        <v>125</v>
      </c>
      <c r="G452" t="s">
        <v>28</v>
      </c>
      <c r="H452">
        <v>1</v>
      </c>
      <c r="I452" s="1" t="s">
        <v>2148</v>
      </c>
      <c r="J452" s="1" t="s">
        <v>2203</v>
      </c>
      <c r="K452">
        <v>1108</v>
      </c>
      <c r="L452">
        <v>576</v>
      </c>
      <c r="M452">
        <v>166</v>
      </c>
      <c r="N452">
        <v>113</v>
      </c>
      <c r="O452" s="2" t="s">
        <v>2204</v>
      </c>
      <c r="P452">
        <v>1</v>
      </c>
      <c r="Q452" t="s">
        <v>2205</v>
      </c>
      <c r="R452">
        <v>1</v>
      </c>
      <c r="S452" t="s">
        <v>2206</v>
      </c>
      <c r="T452">
        <v>1</v>
      </c>
      <c r="U452" t="s">
        <v>902</v>
      </c>
      <c r="V452" t="s">
        <v>2126</v>
      </c>
    </row>
    <row r="453" spans="1:22" hidden="1" x14ac:dyDescent="0.2">
      <c r="A453" t="s">
        <v>93</v>
      </c>
      <c r="B453" t="s">
        <v>2119</v>
      </c>
      <c r="C453" t="s">
        <v>24</v>
      </c>
      <c r="D453" t="s">
        <v>2120</v>
      </c>
      <c r="E453" t="s">
        <v>26</v>
      </c>
      <c r="F453" t="s">
        <v>125</v>
      </c>
      <c r="G453" t="s">
        <v>28</v>
      </c>
      <c r="H453">
        <v>2</v>
      </c>
      <c r="I453" s="1" t="s">
        <v>2148</v>
      </c>
      <c r="J453" s="1" t="s">
        <v>2207</v>
      </c>
      <c r="K453">
        <v>1108</v>
      </c>
      <c r="L453">
        <v>576</v>
      </c>
      <c r="M453">
        <v>196</v>
      </c>
      <c r="N453">
        <v>139</v>
      </c>
      <c r="O453" s="2" t="s">
        <v>2208</v>
      </c>
      <c r="P453">
        <v>1</v>
      </c>
      <c r="Q453" t="s">
        <v>2209</v>
      </c>
      <c r="R453">
        <v>1</v>
      </c>
      <c r="S453" t="s">
        <v>2210</v>
      </c>
      <c r="T453">
        <v>1</v>
      </c>
      <c r="U453" t="s">
        <v>213</v>
      </c>
      <c r="V453" t="s">
        <v>2126</v>
      </c>
    </row>
    <row r="454" spans="1:22" hidden="1" x14ac:dyDescent="0.2">
      <c r="A454" t="s">
        <v>93</v>
      </c>
      <c r="B454" t="s">
        <v>2119</v>
      </c>
      <c r="C454" t="s">
        <v>24</v>
      </c>
      <c r="D454" t="s">
        <v>2120</v>
      </c>
      <c r="E454" t="s">
        <v>26</v>
      </c>
      <c r="F454" t="s">
        <v>125</v>
      </c>
      <c r="G454" t="s">
        <v>28</v>
      </c>
      <c r="H454">
        <v>3</v>
      </c>
      <c r="I454" s="1" t="s">
        <v>2148</v>
      </c>
      <c r="J454" s="1" t="s">
        <v>2211</v>
      </c>
      <c r="K454">
        <v>1108</v>
      </c>
      <c r="L454">
        <v>576</v>
      </c>
      <c r="M454">
        <v>191</v>
      </c>
      <c r="N454">
        <v>132</v>
      </c>
      <c r="O454" s="2" t="s">
        <v>2212</v>
      </c>
      <c r="P454">
        <v>1</v>
      </c>
      <c r="Q454" t="s">
        <v>2213</v>
      </c>
      <c r="R454">
        <v>1</v>
      </c>
      <c r="S454" t="s">
        <v>2214</v>
      </c>
      <c r="T454">
        <v>1</v>
      </c>
      <c r="U454" t="s">
        <v>2215</v>
      </c>
      <c r="V454" t="s">
        <v>2126</v>
      </c>
    </row>
    <row r="455" spans="1:22" hidden="1" x14ac:dyDescent="0.2">
      <c r="A455" t="s">
        <v>140</v>
      </c>
      <c r="B455" t="s">
        <v>2119</v>
      </c>
      <c r="C455" t="s">
        <v>24</v>
      </c>
      <c r="D455" t="s">
        <v>2120</v>
      </c>
      <c r="E455" t="s">
        <v>26</v>
      </c>
      <c r="F455" t="s">
        <v>141</v>
      </c>
      <c r="G455" t="s">
        <v>28</v>
      </c>
      <c r="H455">
        <v>1</v>
      </c>
      <c r="I455" s="1" t="s">
        <v>2216</v>
      </c>
      <c r="J455" t="s">
        <v>2217</v>
      </c>
      <c r="K455">
        <v>1016</v>
      </c>
      <c r="L455">
        <v>525</v>
      </c>
      <c r="M455">
        <v>295</v>
      </c>
      <c r="N455">
        <v>22</v>
      </c>
      <c r="O455" s="2" t="s">
        <v>2218</v>
      </c>
      <c r="P455">
        <v>1</v>
      </c>
      <c r="Q455" t="s">
        <v>2219</v>
      </c>
      <c r="R455">
        <v>1</v>
      </c>
      <c r="S455" t="s">
        <v>2220</v>
      </c>
      <c r="T455">
        <v>1</v>
      </c>
      <c r="U455" t="s">
        <v>2221</v>
      </c>
      <c r="V455" t="s">
        <v>2126</v>
      </c>
    </row>
    <row r="456" spans="1:22" hidden="1" x14ac:dyDescent="0.2">
      <c r="A456" t="s">
        <v>140</v>
      </c>
      <c r="B456" t="s">
        <v>2119</v>
      </c>
      <c r="C456" t="s">
        <v>24</v>
      </c>
      <c r="D456" t="s">
        <v>2120</v>
      </c>
      <c r="E456" t="s">
        <v>26</v>
      </c>
      <c r="F456" t="s">
        <v>141</v>
      </c>
      <c r="G456" t="s">
        <v>28</v>
      </c>
      <c r="H456">
        <v>2</v>
      </c>
      <c r="I456" s="1" t="s">
        <v>2216</v>
      </c>
      <c r="J456" t="s">
        <v>2222</v>
      </c>
      <c r="K456">
        <v>1016</v>
      </c>
      <c r="L456">
        <v>525</v>
      </c>
      <c r="M456">
        <v>363</v>
      </c>
      <c r="N456">
        <v>25</v>
      </c>
      <c r="O456" s="2" t="s">
        <v>2223</v>
      </c>
      <c r="P456">
        <v>1</v>
      </c>
      <c r="Q456" t="s">
        <v>2224</v>
      </c>
      <c r="R456">
        <v>1</v>
      </c>
      <c r="S456" t="s">
        <v>2225</v>
      </c>
      <c r="T456">
        <v>1</v>
      </c>
      <c r="U456" t="s">
        <v>2226</v>
      </c>
      <c r="V456" t="s">
        <v>2126</v>
      </c>
    </row>
    <row r="457" spans="1:22" hidden="1" x14ac:dyDescent="0.2">
      <c r="A457" t="s">
        <v>140</v>
      </c>
      <c r="B457" t="s">
        <v>2119</v>
      </c>
      <c r="C457" t="s">
        <v>24</v>
      </c>
      <c r="D457" t="s">
        <v>2120</v>
      </c>
      <c r="E457" t="s">
        <v>26</v>
      </c>
      <c r="F457" t="s">
        <v>141</v>
      </c>
      <c r="G457" t="s">
        <v>28</v>
      </c>
      <c r="H457">
        <v>3</v>
      </c>
      <c r="I457" s="1" t="s">
        <v>2216</v>
      </c>
      <c r="J457" t="s">
        <v>2227</v>
      </c>
      <c r="K457">
        <v>1016</v>
      </c>
      <c r="L457">
        <v>525</v>
      </c>
      <c r="M457">
        <v>420</v>
      </c>
      <c r="N457">
        <v>20</v>
      </c>
      <c r="O457" s="2" t="s">
        <v>2228</v>
      </c>
      <c r="P457">
        <v>1</v>
      </c>
      <c r="Q457" t="s">
        <v>2229</v>
      </c>
      <c r="R457">
        <v>1</v>
      </c>
      <c r="S457" t="s">
        <v>2230</v>
      </c>
      <c r="T457">
        <v>1</v>
      </c>
      <c r="U457" t="s">
        <v>2231</v>
      </c>
      <c r="V457" t="s">
        <v>2126</v>
      </c>
    </row>
    <row r="458" spans="1:22" hidden="1" x14ac:dyDescent="0.2">
      <c r="A458" t="s">
        <v>22</v>
      </c>
      <c r="B458" t="s">
        <v>2119</v>
      </c>
      <c r="C458" t="s">
        <v>24</v>
      </c>
      <c r="D458" t="s">
        <v>2232</v>
      </c>
      <c r="E458" t="s">
        <v>26</v>
      </c>
      <c r="F458" t="s">
        <v>27</v>
      </c>
      <c r="G458" t="s">
        <v>28</v>
      </c>
      <c r="H458">
        <v>1</v>
      </c>
      <c r="I458" s="1" t="s">
        <v>2233</v>
      </c>
      <c r="J458" s="1" t="s">
        <v>2234</v>
      </c>
      <c r="K458">
        <v>1136</v>
      </c>
      <c r="L458">
        <v>515</v>
      </c>
      <c r="M458">
        <v>132</v>
      </c>
      <c r="N458">
        <v>83</v>
      </c>
      <c r="O458" s="2" t="s">
        <v>2235</v>
      </c>
      <c r="P458">
        <v>1</v>
      </c>
      <c r="Q458" t="s">
        <v>2236</v>
      </c>
      <c r="R458">
        <v>1</v>
      </c>
      <c r="S458" t="s">
        <v>2237</v>
      </c>
      <c r="T458">
        <v>1</v>
      </c>
      <c r="U458" t="s">
        <v>771</v>
      </c>
      <c r="V458" t="s">
        <v>2238</v>
      </c>
    </row>
    <row r="459" spans="1:22" hidden="1" x14ac:dyDescent="0.2">
      <c r="A459" t="s">
        <v>22</v>
      </c>
      <c r="B459" t="s">
        <v>2119</v>
      </c>
      <c r="C459" t="s">
        <v>24</v>
      </c>
      <c r="D459" t="s">
        <v>2232</v>
      </c>
      <c r="E459" t="s">
        <v>26</v>
      </c>
      <c r="F459" t="s">
        <v>27</v>
      </c>
      <c r="G459" t="s">
        <v>28</v>
      </c>
      <c r="H459">
        <v>2</v>
      </c>
      <c r="I459" s="1" t="s">
        <v>2233</v>
      </c>
      <c r="J459" s="1" t="s">
        <v>2239</v>
      </c>
      <c r="K459">
        <v>1136</v>
      </c>
      <c r="L459">
        <v>515</v>
      </c>
      <c r="M459">
        <v>137</v>
      </c>
      <c r="N459">
        <v>84</v>
      </c>
      <c r="O459">
        <v>4.6071617603302002</v>
      </c>
      <c r="P459">
        <v>1</v>
      </c>
      <c r="Q459" t="s">
        <v>2240</v>
      </c>
      <c r="R459">
        <v>0</v>
      </c>
      <c r="S459" t="s">
        <v>2241</v>
      </c>
      <c r="T459">
        <v>1</v>
      </c>
      <c r="U459" t="s">
        <v>2242</v>
      </c>
      <c r="V459" t="s">
        <v>2238</v>
      </c>
    </row>
    <row r="460" spans="1:22" hidden="1" x14ac:dyDescent="0.2">
      <c r="A460" t="s">
        <v>22</v>
      </c>
      <c r="B460" t="s">
        <v>2119</v>
      </c>
      <c r="C460" t="s">
        <v>24</v>
      </c>
      <c r="D460" t="s">
        <v>2232</v>
      </c>
      <c r="E460" t="s">
        <v>26</v>
      </c>
      <c r="F460" t="s">
        <v>27</v>
      </c>
      <c r="G460" t="s">
        <v>28</v>
      </c>
      <c r="H460">
        <v>3</v>
      </c>
      <c r="I460" s="1" t="s">
        <v>2233</v>
      </c>
      <c r="J460" s="1" t="s">
        <v>2243</v>
      </c>
      <c r="K460">
        <v>1136</v>
      </c>
      <c r="L460">
        <v>515</v>
      </c>
      <c r="M460">
        <v>134</v>
      </c>
      <c r="N460">
        <v>86</v>
      </c>
      <c r="O460" s="2" t="s">
        <v>2244</v>
      </c>
      <c r="P460">
        <v>1</v>
      </c>
      <c r="Q460" t="s">
        <v>2245</v>
      </c>
      <c r="R460">
        <v>1</v>
      </c>
      <c r="S460" t="s">
        <v>2246</v>
      </c>
      <c r="T460">
        <v>1</v>
      </c>
      <c r="U460" t="s">
        <v>2247</v>
      </c>
      <c r="V460" t="s">
        <v>2238</v>
      </c>
    </row>
    <row r="461" spans="1:22" hidden="1" x14ac:dyDescent="0.2">
      <c r="A461" t="s">
        <v>22</v>
      </c>
      <c r="B461" t="s">
        <v>2119</v>
      </c>
      <c r="C461" t="s">
        <v>24</v>
      </c>
      <c r="D461" t="s">
        <v>2232</v>
      </c>
      <c r="E461" t="s">
        <v>26</v>
      </c>
      <c r="F461" t="s">
        <v>46</v>
      </c>
      <c r="G461" t="s">
        <v>28</v>
      </c>
      <c r="H461">
        <v>1</v>
      </c>
      <c r="I461" s="1" t="s">
        <v>2248</v>
      </c>
      <c r="J461" s="1" t="s">
        <v>2249</v>
      </c>
      <c r="K461">
        <v>1164</v>
      </c>
      <c r="L461">
        <v>529</v>
      </c>
      <c r="M461">
        <v>206</v>
      </c>
      <c r="N461">
        <v>132</v>
      </c>
      <c r="O461" s="2" t="s">
        <v>2250</v>
      </c>
      <c r="P461">
        <v>1</v>
      </c>
      <c r="Q461" t="s">
        <v>2251</v>
      </c>
      <c r="R461">
        <v>0</v>
      </c>
      <c r="S461" t="s">
        <v>2252</v>
      </c>
      <c r="T461">
        <v>1</v>
      </c>
      <c r="U461" t="s">
        <v>2253</v>
      </c>
      <c r="V461" t="s">
        <v>2238</v>
      </c>
    </row>
    <row r="462" spans="1:22" hidden="1" x14ac:dyDescent="0.2">
      <c r="A462" t="s">
        <v>22</v>
      </c>
      <c r="B462" t="s">
        <v>2119</v>
      </c>
      <c r="C462" t="s">
        <v>24</v>
      </c>
      <c r="D462" t="s">
        <v>2232</v>
      </c>
      <c r="E462" t="s">
        <v>26</v>
      </c>
      <c r="F462" t="s">
        <v>46</v>
      </c>
      <c r="G462" t="s">
        <v>28</v>
      </c>
      <c r="H462">
        <v>2</v>
      </c>
      <c r="I462" s="1" t="s">
        <v>2248</v>
      </c>
      <c r="J462" s="1" t="s">
        <v>2254</v>
      </c>
      <c r="K462">
        <v>1164</v>
      </c>
      <c r="L462">
        <v>529</v>
      </c>
      <c r="M462">
        <v>194</v>
      </c>
      <c r="N462">
        <v>126</v>
      </c>
      <c r="O462" s="2" t="s">
        <v>2255</v>
      </c>
      <c r="P462">
        <v>1</v>
      </c>
      <c r="Q462" t="s">
        <v>2256</v>
      </c>
      <c r="R462">
        <v>1</v>
      </c>
      <c r="S462" t="s">
        <v>2257</v>
      </c>
      <c r="T462">
        <v>1</v>
      </c>
      <c r="U462" t="s">
        <v>109</v>
      </c>
      <c r="V462" t="s">
        <v>2238</v>
      </c>
    </row>
    <row r="463" spans="1:22" hidden="1" x14ac:dyDescent="0.2">
      <c r="A463" t="s">
        <v>22</v>
      </c>
      <c r="B463" t="s">
        <v>2119</v>
      </c>
      <c r="C463" t="s">
        <v>24</v>
      </c>
      <c r="D463" t="s">
        <v>2232</v>
      </c>
      <c r="E463" t="s">
        <v>26</v>
      </c>
      <c r="F463" t="s">
        <v>46</v>
      </c>
      <c r="G463" t="s">
        <v>28</v>
      </c>
      <c r="H463">
        <v>3</v>
      </c>
      <c r="I463" s="1" t="s">
        <v>2248</v>
      </c>
      <c r="J463" s="1" t="s">
        <v>2258</v>
      </c>
      <c r="K463">
        <v>1164</v>
      </c>
      <c r="L463">
        <v>529</v>
      </c>
      <c r="M463">
        <v>221</v>
      </c>
      <c r="N463">
        <v>140</v>
      </c>
      <c r="O463" s="2" t="s">
        <v>2259</v>
      </c>
      <c r="P463">
        <v>1</v>
      </c>
      <c r="Q463" t="s">
        <v>2260</v>
      </c>
      <c r="R463">
        <v>1</v>
      </c>
      <c r="S463" t="s">
        <v>2261</v>
      </c>
      <c r="T463">
        <v>1</v>
      </c>
      <c r="U463" t="s">
        <v>257</v>
      </c>
      <c r="V463" t="s">
        <v>2238</v>
      </c>
    </row>
    <row r="464" spans="1:22" hidden="1" x14ac:dyDescent="0.2">
      <c r="A464" t="s">
        <v>22</v>
      </c>
      <c r="B464" t="s">
        <v>2119</v>
      </c>
      <c r="C464" t="s">
        <v>24</v>
      </c>
      <c r="D464" t="s">
        <v>2232</v>
      </c>
      <c r="E464" t="s">
        <v>26</v>
      </c>
      <c r="F464" t="s">
        <v>61</v>
      </c>
      <c r="G464" t="s">
        <v>28</v>
      </c>
      <c r="H464">
        <v>1</v>
      </c>
      <c r="I464" s="1" t="s">
        <v>2262</v>
      </c>
      <c r="J464" s="1" t="s">
        <v>2263</v>
      </c>
      <c r="K464">
        <v>1199</v>
      </c>
      <c r="L464">
        <v>551</v>
      </c>
      <c r="M464">
        <v>200</v>
      </c>
      <c r="N464">
        <v>116</v>
      </c>
      <c r="O464" s="2" t="s">
        <v>2264</v>
      </c>
      <c r="P464">
        <v>1</v>
      </c>
      <c r="Q464" t="s">
        <v>2265</v>
      </c>
      <c r="R464">
        <v>1</v>
      </c>
      <c r="S464" t="s">
        <v>2266</v>
      </c>
      <c r="T464">
        <v>1</v>
      </c>
      <c r="U464" t="s">
        <v>665</v>
      </c>
      <c r="V464" t="s">
        <v>2238</v>
      </c>
    </row>
    <row r="465" spans="1:22" hidden="1" x14ac:dyDescent="0.2">
      <c r="A465" t="s">
        <v>22</v>
      </c>
      <c r="B465" t="s">
        <v>2119</v>
      </c>
      <c r="C465" t="s">
        <v>24</v>
      </c>
      <c r="D465" t="s">
        <v>2232</v>
      </c>
      <c r="E465" t="s">
        <v>26</v>
      </c>
      <c r="F465" t="s">
        <v>61</v>
      </c>
      <c r="G465" t="s">
        <v>28</v>
      </c>
      <c r="H465">
        <v>2</v>
      </c>
      <c r="I465" s="1" t="s">
        <v>2262</v>
      </c>
      <c r="J465" s="1" t="s">
        <v>2267</v>
      </c>
      <c r="K465">
        <v>1199</v>
      </c>
      <c r="L465">
        <v>551</v>
      </c>
      <c r="M465">
        <v>206</v>
      </c>
      <c r="N465">
        <v>126</v>
      </c>
      <c r="O465" s="2" t="s">
        <v>2268</v>
      </c>
      <c r="P465">
        <v>1</v>
      </c>
      <c r="Q465" t="s">
        <v>2269</v>
      </c>
      <c r="R465">
        <v>1</v>
      </c>
      <c r="S465" t="s">
        <v>2270</v>
      </c>
      <c r="T465">
        <v>1</v>
      </c>
      <c r="U465" t="s">
        <v>2271</v>
      </c>
      <c r="V465" t="s">
        <v>2238</v>
      </c>
    </row>
    <row r="466" spans="1:22" hidden="1" x14ac:dyDescent="0.2">
      <c r="A466" t="s">
        <v>22</v>
      </c>
      <c r="B466" t="s">
        <v>2119</v>
      </c>
      <c r="C466" t="s">
        <v>24</v>
      </c>
      <c r="D466" t="s">
        <v>2232</v>
      </c>
      <c r="E466" t="s">
        <v>26</v>
      </c>
      <c r="F466" t="s">
        <v>61</v>
      </c>
      <c r="G466" t="s">
        <v>28</v>
      </c>
      <c r="H466">
        <v>3</v>
      </c>
      <c r="I466" s="1" t="s">
        <v>2262</v>
      </c>
      <c r="J466" s="1" t="s">
        <v>2272</v>
      </c>
      <c r="K466">
        <v>1199</v>
      </c>
      <c r="L466">
        <v>551</v>
      </c>
      <c r="M466">
        <v>209</v>
      </c>
      <c r="N466">
        <v>120</v>
      </c>
      <c r="O466" s="2" t="s">
        <v>2273</v>
      </c>
      <c r="P466">
        <v>1</v>
      </c>
      <c r="Q466" t="s">
        <v>2274</v>
      </c>
      <c r="R466">
        <v>1</v>
      </c>
      <c r="S466" t="s">
        <v>2275</v>
      </c>
      <c r="T466">
        <v>1</v>
      </c>
      <c r="U466" t="s">
        <v>611</v>
      </c>
      <c r="V466" t="s">
        <v>2238</v>
      </c>
    </row>
    <row r="467" spans="1:22" hidden="1" x14ac:dyDescent="0.2">
      <c r="A467" t="s">
        <v>76</v>
      </c>
      <c r="B467" t="s">
        <v>2119</v>
      </c>
      <c r="C467" t="s">
        <v>24</v>
      </c>
      <c r="D467" t="s">
        <v>2232</v>
      </c>
      <c r="E467" t="s">
        <v>26</v>
      </c>
      <c r="F467" t="s">
        <v>77</v>
      </c>
      <c r="G467" t="s">
        <v>28</v>
      </c>
      <c r="H467">
        <v>1</v>
      </c>
      <c r="I467" s="1" t="s">
        <v>2262</v>
      </c>
      <c r="J467" s="1" t="s">
        <v>2276</v>
      </c>
      <c r="K467">
        <v>1010</v>
      </c>
      <c r="L467">
        <v>551</v>
      </c>
      <c r="M467">
        <v>149</v>
      </c>
      <c r="N467">
        <v>90</v>
      </c>
      <c r="O467" s="2" t="s">
        <v>2277</v>
      </c>
      <c r="P467">
        <v>0</v>
      </c>
      <c r="Q467" t="s">
        <v>2278</v>
      </c>
      <c r="R467">
        <v>1</v>
      </c>
      <c r="S467" t="s">
        <v>2279</v>
      </c>
      <c r="T467">
        <v>1</v>
      </c>
      <c r="U467" t="s">
        <v>1980</v>
      </c>
      <c r="V467" t="s">
        <v>2238</v>
      </c>
    </row>
    <row r="468" spans="1:22" hidden="1" x14ac:dyDescent="0.2">
      <c r="A468" t="s">
        <v>76</v>
      </c>
      <c r="B468" t="s">
        <v>2119</v>
      </c>
      <c r="C468" t="s">
        <v>24</v>
      </c>
      <c r="D468" t="s">
        <v>2232</v>
      </c>
      <c r="E468" t="s">
        <v>26</v>
      </c>
      <c r="F468" t="s">
        <v>77</v>
      </c>
      <c r="G468" t="s">
        <v>28</v>
      </c>
      <c r="H468">
        <v>2</v>
      </c>
      <c r="I468" s="1" t="s">
        <v>2262</v>
      </c>
      <c r="J468" s="1" t="s">
        <v>2280</v>
      </c>
      <c r="K468">
        <v>1010</v>
      </c>
      <c r="L468">
        <v>551</v>
      </c>
      <c r="M468">
        <v>160</v>
      </c>
      <c r="N468">
        <v>106</v>
      </c>
      <c r="O468" s="2" t="s">
        <v>2281</v>
      </c>
      <c r="P468">
        <v>1</v>
      </c>
      <c r="Q468" t="s">
        <v>2282</v>
      </c>
      <c r="R468">
        <v>1</v>
      </c>
      <c r="S468" t="s">
        <v>2283</v>
      </c>
      <c r="T468">
        <v>1</v>
      </c>
      <c r="U468" t="s">
        <v>1965</v>
      </c>
      <c r="V468" t="s">
        <v>2238</v>
      </c>
    </row>
    <row r="469" spans="1:22" hidden="1" x14ac:dyDescent="0.2">
      <c r="A469" t="s">
        <v>76</v>
      </c>
      <c r="B469" t="s">
        <v>2119</v>
      </c>
      <c r="C469" t="s">
        <v>24</v>
      </c>
      <c r="D469" t="s">
        <v>2232</v>
      </c>
      <c r="E469" t="s">
        <v>26</v>
      </c>
      <c r="F469" t="s">
        <v>77</v>
      </c>
      <c r="G469" t="s">
        <v>28</v>
      </c>
      <c r="H469">
        <v>3</v>
      </c>
      <c r="I469" s="1" t="s">
        <v>2262</v>
      </c>
      <c r="J469" s="1" t="s">
        <v>2284</v>
      </c>
      <c r="K469">
        <v>1010</v>
      </c>
      <c r="L469">
        <v>551</v>
      </c>
      <c r="M469">
        <v>140</v>
      </c>
      <c r="N469">
        <v>85</v>
      </c>
      <c r="O469" s="2" t="s">
        <v>2285</v>
      </c>
      <c r="P469">
        <v>0</v>
      </c>
      <c r="Q469" t="s">
        <v>2286</v>
      </c>
      <c r="R469">
        <v>1</v>
      </c>
      <c r="S469" t="s">
        <v>2287</v>
      </c>
      <c r="T469">
        <v>1</v>
      </c>
      <c r="U469" t="s">
        <v>213</v>
      </c>
      <c r="V469" t="s">
        <v>2238</v>
      </c>
    </row>
    <row r="470" spans="1:22" hidden="1" x14ac:dyDescent="0.2">
      <c r="A470" t="s">
        <v>93</v>
      </c>
      <c r="B470" t="s">
        <v>2119</v>
      </c>
      <c r="C470" t="s">
        <v>24</v>
      </c>
      <c r="D470" t="s">
        <v>2232</v>
      </c>
      <c r="E470" t="s">
        <v>26</v>
      </c>
      <c r="F470" t="s">
        <v>94</v>
      </c>
      <c r="G470" t="s">
        <v>28</v>
      </c>
      <c r="H470">
        <v>1</v>
      </c>
      <c r="I470" s="1" t="s">
        <v>2233</v>
      </c>
      <c r="J470" s="1" t="s">
        <v>2288</v>
      </c>
      <c r="K470">
        <v>954</v>
      </c>
      <c r="L470">
        <v>515</v>
      </c>
      <c r="M470">
        <v>115</v>
      </c>
      <c r="N470">
        <v>81</v>
      </c>
      <c r="O470" s="2" t="s">
        <v>2289</v>
      </c>
      <c r="P470">
        <v>1</v>
      </c>
      <c r="Q470" t="s">
        <v>2290</v>
      </c>
      <c r="R470">
        <v>1</v>
      </c>
      <c r="S470" t="s">
        <v>2291</v>
      </c>
      <c r="T470">
        <v>1</v>
      </c>
      <c r="U470" t="s">
        <v>771</v>
      </c>
      <c r="V470" t="s">
        <v>2238</v>
      </c>
    </row>
    <row r="471" spans="1:22" hidden="1" x14ac:dyDescent="0.2">
      <c r="A471" t="s">
        <v>93</v>
      </c>
      <c r="B471" t="s">
        <v>2119</v>
      </c>
      <c r="C471" t="s">
        <v>24</v>
      </c>
      <c r="D471" t="s">
        <v>2232</v>
      </c>
      <c r="E471" t="s">
        <v>26</v>
      </c>
      <c r="F471" t="s">
        <v>94</v>
      </c>
      <c r="G471" t="s">
        <v>28</v>
      </c>
      <c r="H471">
        <v>2</v>
      </c>
      <c r="I471" s="1" t="s">
        <v>2233</v>
      </c>
      <c r="J471" s="1" t="s">
        <v>2292</v>
      </c>
      <c r="K471">
        <v>954</v>
      </c>
      <c r="L471">
        <v>515</v>
      </c>
      <c r="M471">
        <v>118</v>
      </c>
      <c r="N471">
        <v>80</v>
      </c>
      <c r="O471" s="2" t="s">
        <v>2293</v>
      </c>
      <c r="P471">
        <v>0</v>
      </c>
      <c r="Q471" t="s">
        <v>2294</v>
      </c>
      <c r="R471">
        <v>1</v>
      </c>
      <c r="S471" t="s">
        <v>2295</v>
      </c>
      <c r="T471">
        <v>1</v>
      </c>
      <c r="U471" t="s">
        <v>2296</v>
      </c>
      <c r="V471" t="s">
        <v>2238</v>
      </c>
    </row>
    <row r="472" spans="1:22" hidden="1" x14ac:dyDescent="0.2">
      <c r="A472" t="s">
        <v>93</v>
      </c>
      <c r="B472" t="s">
        <v>2119</v>
      </c>
      <c r="C472" t="s">
        <v>24</v>
      </c>
      <c r="D472" t="s">
        <v>2232</v>
      </c>
      <c r="E472" t="s">
        <v>26</v>
      </c>
      <c r="F472" t="s">
        <v>94</v>
      </c>
      <c r="G472" t="s">
        <v>28</v>
      </c>
      <c r="H472">
        <v>3</v>
      </c>
      <c r="I472" s="1" t="s">
        <v>2233</v>
      </c>
      <c r="J472" s="1" t="s">
        <v>2297</v>
      </c>
      <c r="K472">
        <v>954</v>
      </c>
      <c r="L472">
        <v>515</v>
      </c>
      <c r="M472">
        <v>120</v>
      </c>
      <c r="N472">
        <v>86</v>
      </c>
      <c r="O472" s="2" t="s">
        <v>2298</v>
      </c>
      <c r="P472">
        <v>0</v>
      </c>
      <c r="Q472" t="s">
        <v>2299</v>
      </c>
      <c r="R472">
        <v>0</v>
      </c>
      <c r="S472" t="s">
        <v>2300</v>
      </c>
      <c r="T472">
        <v>1</v>
      </c>
      <c r="U472" t="s">
        <v>109</v>
      </c>
      <c r="V472" t="s">
        <v>2238</v>
      </c>
    </row>
    <row r="473" spans="1:22" hidden="1" x14ac:dyDescent="0.2">
      <c r="A473" t="s">
        <v>93</v>
      </c>
      <c r="B473" t="s">
        <v>2119</v>
      </c>
      <c r="C473" t="s">
        <v>24</v>
      </c>
      <c r="D473" t="s">
        <v>2232</v>
      </c>
      <c r="E473" t="s">
        <v>26</v>
      </c>
      <c r="F473" t="s">
        <v>110</v>
      </c>
      <c r="G473" t="s">
        <v>28</v>
      </c>
      <c r="H473">
        <v>1</v>
      </c>
      <c r="I473" s="1" t="s">
        <v>2248</v>
      </c>
      <c r="J473" s="1" t="s">
        <v>2301</v>
      </c>
      <c r="K473">
        <v>979</v>
      </c>
      <c r="L473">
        <v>529</v>
      </c>
      <c r="M473">
        <v>161</v>
      </c>
      <c r="N473">
        <v>110</v>
      </c>
      <c r="O473" s="2" t="s">
        <v>2302</v>
      </c>
      <c r="P473">
        <v>1</v>
      </c>
      <c r="Q473" t="s">
        <v>2303</v>
      </c>
      <c r="R473">
        <v>0</v>
      </c>
      <c r="S473" t="s">
        <v>2304</v>
      </c>
      <c r="T473">
        <v>1</v>
      </c>
      <c r="U473" t="s">
        <v>109</v>
      </c>
      <c r="V473" t="s">
        <v>2238</v>
      </c>
    </row>
    <row r="474" spans="1:22" x14ac:dyDescent="0.2">
      <c r="A474" t="s">
        <v>93</v>
      </c>
      <c r="B474" t="s">
        <v>2119</v>
      </c>
      <c r="C474" t="s">
        <v>24</v>
      </c>
      <c r="D474" t="s">
        <v>2232</v>
      </c>
      <c r="E474" t="s">
        <v>26</v>
      </c>
      <c r="F474" t="s">
        <v>110</v>
      </c>
      <c r="G474" t="s">
        <v>28</v>
      </c>
      <c r="H474">
        <v>2</v>
      </c>
      <c r="I474" s="1" t="s">
        <v>2248</v>
      </c>
      <c r="J474" s="1" t="s">
        <v>2305</v>
      </c>
      <c r="K474">
        <v>979</v>
      </c>
      <c r="L474">
        <v>529</v>
      </c>
      <c r="M474">
        <v>155</v>
      </c>
      <c r="N474">
        <v>108</v>
      </c>
      <c r="O474">
        <v>3.2732968330383301</v>
      </c>
      <c r="P474">
        <v>0</v>
      </c>
      <c r="Q474" t="s">
        <v>2306</v>
      </c>
      <c r="R474">
        <v>1</v>
      </c>
      <c r="S474" t="s">
        <v>2307</v>
      </c>
      <c r="T474">
        <v>1</v>
      </c>
      <c r="U474" t="s">
        <v>2308</v>
      </c>
      <c r="V474" t="s">
        <v>2238</v>
      </c>
    </row>
    <row r="475" spans="1:22" x14ac:dyDescent="0.2">
      <c r="A475" t="s">
        <v>93</v>
      </c>
      <c r="B475" t="s">
        <v>2119</v>
      </c>
      <c r="C475" t="s">
        <v>24</v>
      </c>
      <c r="D475" t="s">
        <v>2232</v>
      </c>
      <c r="E475" t="s">
        <v>26</v>
      </c>
      <c r="F475" t="s">
        <v>110</v>
      </c>
      <c r="G475" t="s">
        <v>28</v>
      </c>
      <c r="H475">
        <v>3</v>
      </c>
      <c r="I475" s="1" t="s">
        <v>2248</v>
      </c>
      <c r="J475" s="1" t="s">
        <v>2309</v>
      </c>
      <c r="K475">
        <v>979</v>
      </c>
      <c r="L475">
        <v>529</v>
      </c>
      <c r="M475">
        <v>157</v>
      </c>
      <c r="N475">
        <v>108</v>
      </c>
      <c r="O475" s="2" t="s">
        <v>2310</v>
      </c>
      <c r="P475">
        <v>0</v>
      </c>
      <c r="Q475" t="s">
        <v>2311</v>
      </c>
      <c r="R475">
        <v>1</v>
      </c>
      <c r="S475" t="s">
        <v>2312</v>
      </c>
      <c r="T475">
        <v>1</v>
      </c>
      <c r="U475" t="s">
        <v>104</v>
      </c>
      <c r="V475" t="s">
        <v>2238</v>
      </c>
    </row>
    <row r="476" spans="1:22" hidden="1" x14ac:dyDescent="0.2">
      <c r="A476" t="s">
        <v>93</v>
      </c>
      <c r="B476" t="s">
        <v>2119</v>
      </c>
      <c r="C476" t="s">
        <v>24</v>
      </c>
      <c r="D476" t="s">
        <v>2232</v>
      </c>
      <c r="E476" t="s">
        <v>26</v>
      </c>
      <c r="F476" t="s">
        <v>125</v>
      </c>
      <c r="G476" t="s">
        <v>28</v>
      </c>
      <c r="H476">
        <v>1</v>
      </c>
      <c r="I476" s="1" t="s">
        <v>2262</v>
      </c>
      <c r="J476" s="1" t="s">
        <v>2313</v>
      </c>
      <c r="K476">
        <v>1010</v>
      </c>
      <c r="L476">
        <v>551</v>
      </c>
      <c r="M476">
        <v>194</v>
      </c>
      <c r="N476">
        <v>139</v>
      </c>
      <c r="O476" s="2" t="s">
        <v>2314</v>
      </c>
      <c r="P476">
        <v>1</v>
      </c>
      <c r="Q476" t="s">
        <v>2315</v>
      </c>
      <c r="R476">
        <v>1</v>
      </c>
      <c r="S476" t="s">
        <v>2316</v>
      </c>
      <c r="T476">
        <v>1</v>
      </c>
      <c r="U476" t="s">
        <v>330</v>
      </c>
      <c r="V476" t="s">
        <v>2238</v>
      </c>
    </row>
    <row r="477" spans="1:22" hidden="1" x14ac:dyDescent="0.2">
      <c r="A477" t="s">
        <v>93</v>
      </c>
      <c r="B477" t="s">
        <v>2119</v>
      </c>
      <c r="C477" t="s">
        <v>24</v>
      </c>
      <c r="D477" t="s">
        <v>2232</v>
      </c>
      <c r="E477" t="s">
        <v>26</v>
      </c>
      <c r="F477" t="s">
        <v>125</v>
      </c>
      <c r="G477" t="s">
        <v>28</v>
      </c>
      <c r="H477">
        <v>2</v>
      </c>
      <c r="I477" s="1" t="s">
        <v>2262</v>
      </c>
      <c r="J477" s="1" t="s">
        <v>2317</v>
      </c>
      <c r="K477">
        <v>1010</v>
      </c>
      <c r="L477">
        <v>551</v>
      </c>
      <c r="M477">
        <v>156</v>
      </c>
      <c r="N477">
        <v>99</v>
      </c>
      <c r="O477" s="2" t="s">
        <v>2318</v>
      </c>
      <c r="P477">
        <v>1</v>
      </c>
      <c r="Q477" t="s">
        <v>2319</v>
      </c>
      <c r="R477">
        <v>1</v>
      </c>
      <c r="S477" t="s">
        <v>2320</v>
      </c>
      <c r="T477">
        <v>1</v>
      </c>
      <c r="U477" t="s">
        <v>2011</v>
      </c>
      <c r="V477" t="s">
        <v>2238</v>
      </c>
    </row>
    <row r="478" spans="1:22" hidden="1" x14ac:dyDescent="0.2">
      <c r="A478" t="s">
        <v>93</v>
      </c>
      <c r="B478" t="s">
        <v>2119</v>
      </c>
      <c r="C478" t="s">
        <v>24</v>
      </c>
      <c r="D478" t="s">
        <v>2232</v>
      </c>
      <c r="E478" t="s">
        <v>26</v>
      </c>
      <c r="F478" t="s">
        <v>125</v>
      </c>
      <c r="G478" t="s">
        <v>28</v>
      </c>
      <c r="H478">
        <v>3</v>
      </c>
      <c r="I478" s="1" t="s">
        <v>2262</v>
      </c>
      <c r="J478" s="1" t="s">
        <v>2321</v>
      </c>
      <c r="K478">
        <v>1010</v>
      </c>
      <c r="L478">
        <v>551</v>
      </c>
      <c r="M478">
        <v>204</v>
      </c>
      <c r="N478">
        <v>145</v>
      </c>
      <c r="O478" s="2" t="s">
        <v>2322</v>
      </c>
      <c r="P478">
        <v>0</v>
      </c>
      <c r="Q478" t="s">
        <v>2323</v>
      </c>
      <c r="R478">
        <v>0</v>
      </c>
      <c r="S478" t="s">
        <v>2324</v>
      </c>
      <c r="T478">
        <v>1</v>
      </c>
      <c r="U478" t="s">
        <v>1256</v>
      </c>
      <c r="V478" t="s">
        <v>2238</v>
      </c>
    </row>
    <row r="479" spans="1:22" hidden="1" x14ac:dyDescent="0.2">
      <c r="A479" t="s">
        <v>140</v>
      </c>
      <c r="B479" t="s">
        <v>2119</v>
      </c>
      <c r="C479" t="s">
        <v>24</v>
      </c>
      <c r="D479" t="s">
        <v>2232</v>
      </c>
      <c r="E479" t="s">
        <v>26</v>
      </c>
      <c r="F479" t="s">
        <v>141</v>
      </c>
      <c r="G479" t="s">
        <v>28</v>
      </c>
      <c r="H479">
        <v>1</v>
      </c>
      <c r="I479" s="1" t="s">
        <v>2325</v>
      </c>
      <c r="J479" t="s">
        <v>2326</v>
      </c>
      <c r="K479">
        <v>918</v>
      </c>
      <c r="L479">
        <v>500</v>
      </c>
      <c r="M479">
        <v>366</v>
      </c>
      <c r="N479">
        <v>28</v>
      </c>
      <c r="O479" s="2" t="s">
        <v>2327</v>
      </c>
      <c r="P479">
        <v>1</v>
      </c>
      <c r="Q479" t="s">
        <v>2328</v>
      </c>
      <c r="R479">
        <v>0</v>
      </c>
      <c r="S479" t="s">
        <v>2329</v>
      </c>
      <c r="T479">
        <v>1</v>
      </c>
      <c r="U479" t="s">
        <v>2330</v>
      </c>
      <c r="V479" t="s">
        <v>2238</v>
      </c>
    </row>
    <row r="480" spans="1:22" hidden="1" x14ac:dyDescent="0.2">
      <c r="A480" t="s">
        <v>140</v>
      </c>
      <c r="B480" t="s">
        <v>2119</v>
      </c>
      <c r="C480" t="s">
        <v>24</v>
      </c>
      <c r="D480" t="s">
        <v>2232</v>
      </c>
      <c r="E480" t="s">
        <v>26</v>
      </c>
      <c r="F480" t="s">
        <v>141</v>
      </c>
      <c r="G480" t="s">
        <v>28</v>
      </c>
      <c r="H480">
        <v>2</v>
      </c>
      <c r="I480" s="1" t="s">
        <v>2325</v>
      </c>
      <c r="J480" t="s">
        <v>2331</v>
      </c>
      <c r="K480">
        <v>918</v>
      </c>
      <c r="L480">
        <v>500</v>
      </c>
      <c r="M480">
        <v>299</v>
      </c>
      <c r="N480">
        <v>24</v>
      </c>
      <c r="O480">
        <v>3.3708469867706299</v>
      </c>
      <c r="P480">
        <v>1</v>
      </c>
      <c r="Q480" t="s">
        <v>2332</v>
      </c>
      <c r="R480">
        <v>0</v>
      </c>
      <c r="S480" t="s">
        <v>2333</v>
      </c>
      <c r="T480">
        <v>1</v>
      </c>
      <c r="U480" t="s">
        <v>109</v>
      </c>
      <c r="V480" t="s">
        <v>2238</v>
      </c>
    </row>
    <row r="481" spans="1:22" hidden="1" x14ac:dyDescent="0.2">
      <c r="A481" t="s">
        <v>140</v>
      </c>
      <c r="B481" t="s">
        <v>2119</v>
      </c>
      <c r="C481" t="s">
        <v>24</v>
      </c>
      <c r="D481" t="s">
        <v>2232</v>
      </c>
      <c r="E481" t="s">
        <v>26</v>
      </c>
      <c r="F481" t="s">
        <v>141</v>
      </c>
      <c r="G481" t="s">
        <v>28</v>
      </c>
      <c r="H481">
        <v>3</v>
      </c>
      <c r="I481" s="1" t="s">
        <v>2325</v>
      </c>
      <c r="J481" t="s">
        <v>2334</v>
      </c>
      <c r="K481">
        <v>918</v>
      </c>
      <c r="L481">
        <v>500</v>
      </c>
      <c r="M481">
        <v>308</v>
      </c>
      <c r="N481">
        <v>34</v>
      </c>
      <c r="O481" s="2" t="s">
        <v>2335</v>
      </c>
      <c r="P481">
        <v>1</v>
      </c>
      <c r="Q481" t="s">
        <v>2336</v>
      </c>
      <c r="R481">
        <v>0</v>
      </c>
      <c r="S481" t="s">
        <v>2337</v>
      </c>
      <c r="T481">
        <v>1</v>
      </c>
      <c r="U481" t="s">
        <v>2338</v>
      </c>
      <c r="V481" t="s">
        <v>2238</v>
      </c>
    </row>
    <row r="482" spans="1:22" hidden="1" x14ac:dyDescent="0.2">
      <c r="A482" t="s">
        <v>22</v>
      </c>
      <c r="B482" t="s">
        <v>2119</v>
      </c>
      <c r="C482" t="s">
        <v>24</v>
      </c>
      <c r="D482" t="s">
        <v>2339</v>
      </c>
      <c r="E482" t="s">
        <v>26</v>
      </c>
      <c r="F482" t="s">
        <v>27</v>
      </c>
      <c r="G482" t="s">
        <v>28</v>
      </c>
      <c r="H482">
        <v>1</v>
      </c>
      <c r="I482" s="1" t="s">
        <v>2340</v>
      </c>
      <c r="J482" s="1" t="s">
        <v>2341</v>
      </c>
      <c r="K482">
        <v>1032</v>
      </c>
      <c r="L482">
        <v>469</v>
      </c>
      <c r="M482">
        <v>122</v>
      </c>
      <c r="N482">
        <v>72</v>
      </c>
      <c r="O482" s="2" t="s">
        <v>2342</v>
      </c>
      <c r="P482">
        <v>1</v>
      </c>
      <c r="Q482" t="s">
        <v>2343</v>
      </c>
      <c r="R482">
        <v>1</v>
      </c>
      <c r="S482" t="s">
        <v>2344</v>
      </c>
      <c r="T482">
        <v>1</v>
      </c>
      <c r="U482" t="s">
        <v>277</v>
      </c>
      <c r="V482" t="s">
        <v>2345</v>
      </c>
    </row>
    <row r="483" spans="1:22" hidden="1" x14ac:dyDescent="0.2">
      <c r="A483" t="s">
        <v>22</v>
      </c>
      <c r="B483" t="s">
        <v>2119</v>
      </c>
      <c r="C483" t="s">
        <v>24</v>
      </c>
      <c r="D483" t="s">
        <v>2339</v>
      </c>
      <c r="E483" t="s">
        <v>26</v>
      </c>
      <c r="F483" t="s">
        <v>27</v>
      </c>
      <c r="G483" t="s">
        <v>28</v>
      </c>
      <c r="H483">
        <v>2</v>
      </c>
      <c r="I483" s="1" t="s">
        <v>2340</v>
      </c>
      <c r="J483" s="1" t="s">
        <v>2346</v>
      </c>
      <c r="K483">
        <v>1032</v>
      </c>
      <c r="L483">
        <v>469</v>
      </c>
      <c r="M483">
        <v>130</v>
      </c>
      <c r="N483">
        <v>79</v>
      </c>
      <c r="O483" s="2" t="s">
        <v>2347</v>
      </c>
      <c r="P483">
        <v>1</v>
      </c>
      <c r="Q483" t="s">
        <v>2348</v>
      </c>
      <c r="R483">
        <v>0</v>
      </c>
      <c r="S483" t="s">
        <v>2349</v>
      </c>
      <c r="T483">
        <v>1</v>
      </c>
      <c r="U483" t="s">
        <v>2350</v>
      </c>
      <c r="V483" t="s">
        <v>2345</v>
      </c>
    </row>
    <row r="484" spans="1:22" hidden="1" x14ac:dyDescent="0.2">
      <c r="A484" t="s">
        <v>22</v>
      </c>
      <c r="B484" t="s">
        <v>2119</v>
      </c>
      <c r="C484" t="s">
        <v>24</v>
      </c>
      <c r="D484" t="s">
        <v>2339</v>
      </c>
      <c r="E484" t="s">
        <v>26</v>
      </c>
      <c r="F484" t="s">
        <v>27</v>
      </c>
      <c r="G484" t="s">
        <v>28</v>
      </c>
      <c r="H484">
        <v>3</v>
      </c>
      <c r="I484" s="1" t="s">
        <v>2340</v>
      </c>
      <c r="J484" s="1" t="s">
        <v>2351</v>
      </c>
      <c r="K484">
        <v>1032</v>
      </c>
      <c r="L484">
        <v>469</v>
      </c>
      <c r="M484">
        <v>129</v>
      </c>
      <c r="N484">
        <v>80</v>
      </c>
      <c r="O484" s="2" t="s">
        <v>2352</v>
      </c>
      <c r="P484">
        <v>1</v>
      </c>
      <c r="Q484" t="s">
        <v>2353</v>
      </c>
      <c r="R484">
        <v>1</v>
      </c>
      <c r="S484" t="s">
        <v>2354</v>
      </c>
      <c r="T484">
        <v>1</v>
      </c>
      <c r="U484" t="s">
        <v>2355</v>
      </c>
      <c r="V484" t="s">
        <v>2345</v>
      </c>
    </row>
    <row r="485" spans="1:22" hidden="1" x14ac:dyDescent="0.2">
      <c r="A485" t="s">
        <v>22</v>
      </c>
      <c r="B485" t="s">
        <v>2119</v>
      </c>
      <c r="C485" t="s">
        <v>24</v>
      </c>
      <c r="D485" t="s">
        <v>2339</v>
      </c>
      <c r="E485" t="s">
        <v>26</v>
      </c>
      <c r="F485" t="s">
        <v>46</v>
      </c>
      <c r="G485" t="s">
        <v>28</v>
      </c>
      <c r="H485">
        <v>1</v>
      </c>
      <c r="I485" s="1" t="s">
        <v>2356</v>
      </c>
      <c r="J485" s="1" t="s">
        <v>2357</v>
      </c>
      <c r="K485">
        <v>1060</v>
      </c>
      <c r="L485">
        <v>483</v>
      </c>
      <c r="M485">
        <v>203</v>
      </c>
      <c r="N485">
        <v>129</v>
      </c>
      <c r="O485" s="2" t="s">
        <v>2358</v>
      </c>
      <c r="P485">
        <v>1</v>
      </c>
      <c r="Q485" t="s">
        <v>2359</v>
      </c>
      <c r="R485">
        <v>1</v>
      </c>
      <c r="S485" t="s">
        <v>2360</v>
      </c>
      <c r="T485">
        <v>1</v>
      </c>
      <c r="U485" t="s">
        <v>82</v>
      </c>
      <c r="V485" t="s">
        <v>2345</v>
      </c>
    </row>
    <row r="486" spans="1:22" hidden="1" x14ac:dyDescent="0.2">
      <c r="A486" t="s">
        <v>22</v>
      </c>
      <c r="B486" t="s">
        <v>2119</v>
      </c>
      <c r="C486" t="s">
        <v>24</v>
      </c>
      <c r="D486" t="s">
        <v>2339</v>
      </c>
      <c r="E486" t="s">
        <v>26</v>
      </c>
      <c r="F486" t="s">
        <v>46</v>
      </c>
      <c r="G486" t="s">
        <v>28</v>
      </c>
      <c r="H486">
        <v>2</v>
      </c>
      <c r="I486" s="1" t="s">
        <v>2356</v>
      </c>
      <c r="J486" s="1" t="s">
        <v>2361</v>
      </c>
      <c r="K486">
        <v>1060</v>
      </c>
      <c r="L486">
        <v>483</v>
      </c>
      <c r="M486">
        <v>194</v>
      </c>
      <c r="N486">
        <v>123</v>
      </c>
      <c r="O486" s="2" t="s">
        <v>2362</v>
      </c>
      <c r="P486">
        <v>1</v>
      </c>
      <c r="Q486" t="s">
        <v>2363</v>
      </c>
      <c r="R486">
        <v>1</v>
      </c>
      <c r="S486" t="s">
        <v>2364</v>
      </c>
      <c r="T486">
        <v>1</v>
      </c>
      <c r="U486" t="s">
        <v>719</v>
      </c>
      <c r="V486" t="s">
        <v>2345</v>
      </c>
    </row>
    <row r="487" spans="1:22" hidden="1" x14ac:dyDescent="0.2">
      <c r="A487" t="s">
        <v>22</v>
      </c>
      <c r="B487" t="s">
        <v>2119</v>
      </c>
      <c r="C487" t="s">
        <v>24</v>
      </c>
      <c r="D487" t="s">
        <v>2339</v>
      </c>
      <c r="E487" t="s">
        <v>26</v>
      </c>
      <c r="F487" t="s">
        <v>46</v>
      </c>
      <c r="G487" t="s">
        <v>28</v>
      </c>
      <c r="H487">
        <v>3</v>
      </c>
      <c r="I487" s="1" t="s">
        <v>2356</v>
      </c>
      <c r="J487" s="1" t="s">
        <v>2365</v>
      </c>
      <c r="K487">
        <v>1060</v>
      </c>
      <c r="L487">
        <v>483</v>
      </c>
      <c r="M487">
        <v>197</v>
      </c>
      <c r="N487">
        <v>127</v>
      </c>
      <c r="O487" s="2" t="s">
        <v>2366</v>
      </c>
      <c r="P487">
        <v>1</v>
      </c>
      <c r="Q487" t="s">
        <v>2367</v>
      </c>
      <c r="R487">
        <v>1</v>
      </c>
      <c r="S487" t="s">
        <v>2368</v>
      </c>
      <c r="T487">
        <v>1</v>
      </c>
      <c r="U487" t="s">
        <v>616</v>
      </c>
      <c r="V487" t="s">
        <v>2345</v>
      </c>
    </row>
    <row r="488" spans="1:22" hidden="1" x14ac:dyDescent="0.2">
      <c r="A488" t="s">
        <v>22</v>
      </c>
      <c r="B488" t="s">
        <v>2119</v>
      </c>
      <c r="C488" t="s">
        <v>24</v>
      </c>
      <c r="D488" t="s">
        <v>2339</v>
      </c>
      <c r="E488" t="s">
        <v>26</v>
      </c>
      <c r="F488" t="s">
        <v>61</v>
      </c>
      <c r="G488" t="s">
        <v>28</v>
      </c>
      <c r="H488">
        <v>1</v>
      </c>
      <c r="I488" s="1" t="s">
        <v>2369</v>
      </c>
      <c r="J488" s="1" t="s">
        <v>2370</v>
      </c>
      <c r="K488">
        <v>1095</v>
      </c>
      <c r="L488">
        <v>505</v>
      </c>
      <c r="M488">
        <v>197</v>
      </c>
      <c r="N488">
        <v>107</v>
      </c>
      <c r="O488" s="2" t="s">
        <v>2371</v>
      </c>
      <c r="P488">
        <v>1</v>
      </c>
      <c r="Q488" t="s">
        <v>2372</v>
      </c>
      <c r="R488">
        <v>1</v>
      </c>
      <c r="S488" t="s">
        <v>2373</v>
      </c>
      <c r="T488">
        <v>1</v>
      </c>
      <c r="U488" t="s">
        <v>393</v>
      </c>
      <c r="V488" t="s">
        <v>2345</v>
      </c>
    </row>
    <row r="489" spans="1:22" hidden="1" x14ac:dyDescent="0.2">
      <c r="A489" t="s">
        <v>22</v>
      </c>
      <c r="B489" t="s">
        <v>2119</v>
      </c>
      <c r="C489" t="s">
        <v>24</v>
      </c>
      <c r="D489" t="s">
        <v>2339</v>
      </c>
      <c r="E489" t="s">
        <v>26</v>
      </c>
      <c r="F489" t="s">
        <v>61</v>
      </c>
      <c r="G489" t="s">
        <v>28</v>
      </c>
      <c r="H489">
        <v>2</v>
      </c>
      <c r="I489" s="1" t="s">
        <v>2369</v>
      </c>
      <c r="J489" s="1" t="s">
        <v>2374</v>
      </c>
      <c r="K489">
        <v>1095</v>
      </c>
      <c r="L489">
        <v>505</v>
      </c>
      <c r="M489">
        <v>195</v>
      </c>
      <c r="N489">
        <v>108</v>
      </c>
      <c r="O489" s="2" t="s">
        <v>2375</v>
      </c>
      <c r="P489">
        <v>1</v>
      </c>
      <c r="Q489" t="s">
        <v>2376</v>
      </c>
      <c r="R489">
        <v>1</v>
      </c>
      <c r="S489" t="s">
        <v>2377</v>
      </c>
      <c r="T489">
        <v>1</v>
      </c>
      <c r="U489" t="s">
        <v>213</v>
      </c>
      <c r="V489" t="s">
        <v>2345</v>
      </c>
    </row>
    <row r="490" spans="1:22" hidden="1" x14ac:dyDescent="0.2">
      <c r="A490" t="s">
        <v>22</v>
      </c>
      <c r="B490" t="s">
        <v>2119</v>
      </c>
      <c r="C490" t="s">
        <v>24</v>
      </c>
      <c r="D490" t="s">
        <v>2339</v>
      </c>
      <c r="E490" t="s">
        <v>26</v>
      </c>
      <c r="F490" t="s">
        <v>61</v>
      </c>
      <c r="G490" t="s">
        <v>28</v>
      </c>
      <c r="H490">
        <v>3</v>
      </c>
      <c r="I490" s="1" t="s">
        <v>2369</v>
      </c>
      <c r="J490" s="1" t="s">
        <v>2378</v>
      </c>
      <c r="K490">
        <v>1095</v>
      </c>
      <c r="L490">
        <v>505</v>
      </c>
      <c r="M490">
        <v>202</v>
      </c>
      <c r="N490">
        <v>108</v>
      </c>
      <c r="O490" s="2" t="s">
        <v>2379</v>
      </c>
      <c r="P490">
        <v>1</v>
      </c>
      <c r="Q490" t="s">
        <v>2380</v>
      </c>
      <c r="R490">
        <v>1</v>
      </c>
      <c r="S490" t="s">
        <v>2381</v>
      </c>
      <c r="T490">
        <v>1</v>
      </c>
      <c r="U490" t="s">
        <v>601</v>
      </c>
      <c r="V490" t="s">
        <v>2345</v>
      </c>
    </row>
    <row r="491" spans="1:22" hidden="1" x14ac:dyDescent="0.2">
      <c r="A491" t="s">
        <v>76</v>
      </c>
      <c r="B491" t="s">
        <v>2119</v>
      </c>
      <c r="C491" t="s">
        <v>24</v>
      </c>
      <c r="D491" t="s">
        <v>2339</v>
      </c>
      <c r="E491" t="s">
        <v>26</v>
      </c>
      <c r="F491" t="s">
        <v>77</v>
      </c>
      <c r="G491" t="s">
        <v>28</v>
      </c>
      <c r="H491">
        <v>1</v>
      </c>
      <c r="I491" s="1" t="s">
        <v>2369</v>
      </c>
      <c r="J491" s="1" t="s">
        <v>2382</v>
      </c>
      <c r="K491">
        <v>928</v>
      </c>
      <c r="L491">
        <v>505</v>
      </c>
      <c r="M491">
        <v>125</v>
      </c>
      <c r="N491">
        <v>72</v>
      </c>
      <c r="O491" s="2" t="s">
        <v>2383</v>
      </c>
      <c r="P491">
        <v>1</v>
      </c>
      <c r="Q491" t="s">
        <v>2384</v>
      </c>
      <c r="R491">
        <v>1</v>
      </c>
      <c r="S491" t="s">
        <v>2385</v>
      </c>
      <c r="T491">
        <v>1</v>
      </c>
      <c r="U491" t="s">
        <v>601</v>
      </c>
      <c r="V491" t="s">
        <v>2345</v>
      </c>
    </row>
    <row r="492" spans="1:22" hidden="1" x14ac:dyDescent="0.2">
      <c r="A492" t="s">
        <v>76</v>
      </c>
      <c r="B492" t="s">
        <v>2119</v>
      </c>
      <c r="C492" t="s">
        <v>24</v>
      </c>
      <c r="D492" t="s">
        <v>2339</v>
      </c>
      <c r="E492" t="s">
        <v>26</v>
      </c>
      <c r="F492" t="s">
        <v>77</v>
      </c>
      <c r="G492" t="s">
        <v>28</v>
      </c>
      <c r="H492">
        <v>2</v>
      </c>
      <c r="I492" s="1" t="s">
        <v>2369</v>
      </c>
      <c r="J492" s="1" t="s">
        <v>2386</v>
      </c>
      <c r="K492">
        <v>928</v>
      </c>
      <c r="L492">
        <v>505</v>
      </c>
      <c r="M492">
        <v>144</v>
      </c>
      <c r="N492">
        <v>93</v>
      </c>
      <c r="O492" s="2" t="s">
        <v>2387</v>
      </c>
      <c r="P492">
        <v>1</v>
      </c>
      <c r="Q492" t="s">
        <v>2388</v>
      </c>
      <c r="R492">
        <v>1</v>
      </c>
      <c r="S492" t="s">
        <v>2389</v>
      </c>
      <c r="T492">
        <v>1</v>
      </c>
      <c r="U492" t="s">
        <v>616</v>
      </c>
      <c r="V492" t="s">
        <v>2345</v>
      </c>
    </row>
    <row r="493" spans="1:22" hidden="1" x14ac:dyDescent="0.2">
      <c r="A493" t="s">
        <v>76</v>
      </c>
      <c r="B493" t="s">
        <v>2119</v>
      </c>
      <c r="C493" t="s">
        <v>24</v>
      </c>
      <c r="D493" t="s">
        <v>2339</v>
      </c>
      <c r="E493" t="s">
        <v>26</v>
      </c>
      <c r="F493" t="s">
        <v>77</v>
      </c>
      <c r="G493" t="s">
        <v>28</v>
      </c>
      <c r="H493">
        <v>3</v>
      </c>
      <c r="I493" s="1" t="s">
        <v>2369</v>
      </c>
      <c r="J493" s="1" t="s">
        <v>2390</v>
      </c>
      <c r="K493">
        <v>928</v>
      </c>
      <c r="L493">
        <v>505</v>
      </c>
      <c r="M493">
        <v>156</v>
      </c>
      <c r="N493">
        <v>101</v>
      </c>
      <c r="O493" s="2" t="s">
        <v>2391</v>
      </c>
      <c r="P493">
        <v>0</v>
      </c>
      <c r="Q493" t="s">
        <v>2392</v>
      </c>
      <c r="R493">
        <v>1</v>
      </c>
      <c r="S493" t="s">
        <v>2393</v>
      </c>
      <c r="T493">
        <v>1</v>
      </c>
      <c r="U493" t="s">
        <v>2394</v>
      </c>
      <c r="V493" t="s">
        <v>2345</v>
      </c>
    </row>
    <row r="494" spans="1:22" hidden="1" x14ac:dyDescent="0.2">
      <c r="A494" t="s">
        <v>93</v>
      </c>
      <c r="B494" t="s">
        <v>2119</v>
      </c>
      <c r="C494" t="s">
        <v>24</v>
      </c>
      <c r="D494" t="s">
        <v>2339</v>
      </c>
      <c r="E494" t="s">
        <v>26</v>
      </c>
      <c r="F494" t="s">
        <v>94</v>
      </c>
      <c r="G494" t="s">
        <v>28</v>
      </c>
      <c r="H494">
        <v>1</v>
      </c>
      <c r="I494" s="1" t="s">
        <v>2340</v>
      </c>
      <c r="J494" s="1" t="s">
        <v>2395</v>
      </c>
      <c r="K494">
        <v>872</v>
      </c>
      <c r="L494">
        <v>469</v>
      </c>
      <c r="M494">
        <v>111</v>
      </c>
      <c r="N494">
        <v>75</v>
      </c>
      <c r="O494" s="2" t="s">
        <v>2396</v>
      </c>
      <c r="P494">
        <v>1</v>
      </c>
      <c r="Q494" t="s">
        <v>2397</v>
      </c>
      <c r="R494">
        <v>1</v>
      </c>
      <c r="S494" t="s">
        <v>2398</v>
      </c>
      <c r="T494">
        <v>1</v>
      </c>
      <c r="U494" t="s">
        <v>1388</v>
      </c>
      <c r="V494" t="s">
        <v>2345</v>
      </c>
    </row>
    <row r="495" spans="1:22" hidden="1" x14ac:dyDescent="0.2">
      <c r="A495" t="s">
        <v>93</v>
      </c>
      <c r="B495" t="s">
        <v>2119</v>
      </c>
      <c r="C495" t="s">
        <v>24</v>
      </c>
      <c r="D495" t="s">
        <v>2339</v>
      </c>
      <c r="E495" t="s">
        <v>26</v>
      </c>
      <c r="F495" t="s">
        <v>94</v>
      </c>
      <c r="G495" t="s">
        <v>28</v>
      </c>
      <c r="H495">
        <v>2</v>
      </c>
      <c r="I495" s="1" t="s">
        <v>2340</v>
      </c>
      <c r="J495" s="1" t="s">
        <v>2399</v>
      </c>
      <c r="K495">
        <v>872</v>
      </c>
      <c r="L495">
        <v>469</v>
      </c>
      <c r="M495">
        <v>115</v>
      </c>
      <c r="N495">
        <v>75</v>
      </c>
      <c r="O495" s="2" t="s">
        <v>2400</v>
      </c>
      <c r="P495">
        <v>1</v>
      </c>
      <c r="Q495" t="s">
        <v>2401</v>
      </c>
      <c r="R495">
        <v>0</v>
      </c>
      <c r="S495" t="s">
        <v>2402</v>
      </c>
      <c r="T495">
        <v>1</v>
      </c>
      <c r="U495" t="s">
        <v>99</v>
      </c>
      <c r="V495" t="s">
        <v>2345</v>
      </c>
    </row>
    <row r="496" spans="1:22" hidden="1" x14ac:dyDescent="0.2">
      <c r="A496" t="s">
        <v>93</v>
      </c>
      <c r="B496" t="s">
        <v>2119</v>
      </c>
      <c r="C496" t="s">
        <v>24</v>
      </c>
      <c r="D496" t="s">
        <v>2339</v>
      </c>
      <c r="E496" t="s">
        <v>26</v>
      </c>
      <c r="F496" t="s">
        <v>94</v>
      </c>
      <c r="G496" t="s">
        <v>28</v>
      </c>
      <c r="H496">
        <v>3</v>
      </c>
      <c r="I496" s="1" t="s">
        <v>2340</v>
      </c>
      <c r="J496" s="1" t="s">
        <v>2403</v>
      </c>
      <c r="K496">
        <v>872</v>
      </c>
      <c r="L496">
        <v>469</v>
      </c>
      <c r="M496">
        <v>118</v>
      </c>
      <c r="N496">
        <v>82</v>
      </c>
      <c r="O496" s="2" t="s">
        <v>2404</v>
      </c>
      <c r="P496">
        <v>1</v>
      </c>
      <c r="Q496" t="s">
        <v>2405</v>
      </c>
      <c r="R496">
        <v>1</v>
      </c>
      <c r="S496" t="s">
        <v>2406</v>
      </c>
      <c r="T496">
        <v>1</v>
      </c>
      <c r="U496" t="s">
        <v>325</v>
      </c>
      <c r="V496" t="s">
        <v>2345</v>
      </c>
    </row>
    <row r="497" spans="1:22" hidden="1" x14ac:dyDescent="0.2">
      <c r="A497" t="s">
        <v>93</v>
      </c>
      <c r="B497" t="s">
        <v>2119</v>
      </c>
      <c r="C497" t="s">
        <v>24</v>
      </c>
      <c r="D497" t="s">
        <v>2339</v>
      </c>
      <c r="E497" t="s">
        <v>26</v>
      </c>
      <c r="F497" t="s">
        <v>110</v>
      </c>
      <c r="G497" t="s">
        <v>28</v>
      </c>
      <c r="H497">
        <v>1</v>
      </c>
      <c r="I497" s="1" t="s">
        <v>2356</v>
      </c>
      <c r="J497" s="1" t="s">
        <v>2407</v>
      </c>
      <c r="K497">
        <v>897</v>
      </c>
      <c r="L497">
        <v>483</v>
      </c>
      <c r="M497">
        <v>178</v>
      </c>
      <c r="N497">
        <v>129</v>
      </c>
      <c r="O497" s="2" t="s">
        <v>2408</v>
      </c>
      <c r="P497">
        <v>1</v>
      </c>
      <c r="Q497" t="s">
        <v>2409</v>
      </c>
      <c r="R497">
        <v>1</v>
      </c>
      <c r="S497" t="s">
        <v>2410</v>
      </c>
      <c r="T497">
        <v>1</v>
      </c>
      <c r="U497" t="s">
        <v>87</v>
      </c>
      <c r="V497" t="s">
        <v>2345</v>
      </c>
    </row>
    <row r="498" spans="1:22" hidden="1" x14ac:dyDescent="0.2">
      <c r="A498" t="s">
        <v>93</v>
      </c>
      <c r="B498" t="s">
        <v>2119</v>
      </c>
      <c r="C498" t="s">
        <v>24</v>
      </c>
      <c r="D498" t="s">
        <v>2339</v>
      </c>
      <c r="E498" t="s">
        <v>26</v>
      </c>
      <c r="F498" t="s">
        <v>110</v>
      </c>
      <c r="G498" t="s">
        <v>28</v>
      </c>
      <c r="H498">
        <v>2</v>
      </c>
      <c r="I498" s="1" t="s">
        <v>2356</v>
      </c>
      <c r="J498" s="1" t="s">
        <v>2411</v>
      </c>
      <c r="K498">
        <v>897</v>
      </c>
      <c r="L498">
        <v>483</v>
      </c>
      <c r="M498">
        <v>166</v>
      </c>
      <c r="N498">
        <v>119</v>
      </c>
      <c r="O498" s="2" t="s">
        <v>2412</v>
      </c>
      <c r="P498">
        <v>1</v>
      </c>
      <c r="Q498" t="s">
        <v>2413</v>
      </c>
      <c r="R498">
        <v>1</v>
      </c>
      <c r="S498" t="s">
        <v>2414</v>
      </c>
      <c r="T498">
        <v>1</v>
      </c>
      <c r="U498" t="s">
        <v>616</v>
      </c>
      <c r="V498" t="s">
        <v>2345</v>
      </c>
    </row>
    <row r="499" spans="1:22" hidden="1" x14ac:dyDescent="0.2">
      <c r="A499" t="s">
        <v>93</v>
      </c>
      <c r="B499" t="s">
        <v>2119</v>
      </c>
      <c r="C499" t="s">
        <v>24</v>
      </c>
      <c r="D499" t="s">
        <v>2339</v>
      </c>
      <c r="E499" t="s">
        <v>26</v>
      </c>
      <c r="F499" t="s">
        <v>110</v>
      </c>
      <c r="G499" t="s">
        <v>28</v>
      </c>
      <c r="H499">
        <v>3</v>
      </c>
      <c r="I499" s="1" t="s">
        <v>2356</v>
      </c>
      <c r="J499" s="1" t="s">
        <v>2415</v>
      </c>
      <c r="K499">
        <v>897</v>
      </c>
      <c r="L499">
        <v>483</v>
      </c>
      <c r="M499">
        <v>175</v>
      </c>
      <c r="N499">
        <v>124</v>
      </c>
      <c r="O499" s="2" t="s">
        <v>2416</v>
      </c>
      <c r="P499">
        <v>1</v>
      </c>
      <c r="Q499" t="s">
        <v>2417</v>
      </c>
      <c r="R499">
        <v>1</v>
      </c>
      <c r="S499" t="s">
        <v>2418</v>
      </c>
      <c r="T499">
        <v>1</v>
      </c>
      <c r="U499" t="s">
        <v>823</v>
      </c>
      <c r="V499" t="s">
        <v>2345</v>
      </c>
    </row>
    <row r="500" spans="1:22" hidden="1" x14ac:dyDescent="0.2">
      <c r="A500" t="s">
        <v>93</v>
      </c>
      <c r="B500" t="s">
        <v>2119</v>
      </c>
      <c r="C500" t="s">
        <v>24</v>
      </c>
      <c r="D500" t="s">
        <v>2339</v>
      </c>
      <c r="E500" t="s">
        <v>26</v>
      </c>
      <c r="F500" t="s">
        <v>125</v>
      </c>
      <c r="G500" t="s">
        <v>28</v>
      </c>
      <c r="H500">
        <v>1</v>
      </c>
      <c r="I500" s="1" t="s">
        <v>2369</v>
      </c>
      <c r="J500" s="1" t="s">
        <v>2419</v>
      </c>
      <c r="K500">
        <v>928</v>
      </c>
      <c r="L500">
        <v>505</v>
      </c>
      <c r="M500">
        <v>187</v>
      </c>
      <c r="N500">
        <v>121</v>
      </c>
      <c r="O500" s="2" t="s">
        <v>2420</v>
      </c>
      <c r="P500">
        <v>1</v>
      </c>
      <c r="Q500" t="s">
        <v>2421</v>
      </c>
      <c r="R500">
        <v>1</v>
      </c>
      <c r="S500" t="s">
        <v>2422</v>
      </c>
      <c r="T500">
        <v>1</v>
      </c>
      <c r="U500" t="s">
        <v>1046</v>
      </c>
      <c r="V500" t="s">
        <v>2345</v>
      </c>
    </row>
    <row r="501" spans="1:22" hidden="1" x14ac:dyDescent="0.2">
      <c r="A501" t="s">
        <v>93</v>
      </c>
      <c r="B501" t="s">
        <v>2119</v>
      </c>
      <c r="C501" t="s">
        <v>24</v>
      </c>
      <c r="D501" t="s">
        <v>2339</v>
      </c>
      <c r="E501" t="s">
        <v>26</v>
      </c>
      <c r="F501" t="s">
        <v>125</v>
      </c>
      <c r="G501" t="s">
        <v>28</v>
      </c>
      <c r="H501">
        <v>2</v>
      </c>
      <c r="I501" s="1" t="s">
        <v>2369</v>
      </c>
      <c r="J501" s="1" t="s">
        <v>2423</v>
      </c>
      <c r="K501">
        <v>928</v>
      </c>
      <c r="L501">
        <v>505</v>
      </c>
      <c r="M501">
        <v>164</v>
      </c>
      <c r="N501">
        <v>106</v>
      </c>
      <c r="O501">
        <v>4.4092381000518799</v>
      </c>
      <c r="P501">
        <v>1</v>
      </c>
      <c r="Q501" t="s">
        <v>2424</v>
      </c>
      <c r="R501">
        <v>1</v>
      </c>
      <c r="S501" t="s">
        <v>2425</v>
      </c>
      <c r="T501">
        <v>1</v>
      </c>
      <c r="U501" t="s">
        <v>2426</v>
      </c>
      <c r="V501" t="s">
        <v>2345</v>
      </c>
    </row>
    <row r="502" spans="1:22" hidden="1" x14ac:dyDescent="0.2">
      <c r="A502" t="s">
        <v>93</v>
      </c>
      <c r="B502" t="s">
        <v>2119</v>
      </c>
      <c r="C502" t="s">
        <v>24</v>
      </c>
      <c r="D502" t="s">
        <v>2339</v>
      </c>
      <c r="E502" t="s">
        <v>26</v>
      </c>
      <c r="F502" t="s">
        <v>125</v>
      </c>
      <c r="G502" t="s">
        <v>28</v>
      </c>
      <c r="H502">
        <v>3</v>
      </c>
      <c r="I502" s="1" t="s">
        <v>2369</v>
      </c>
      <c r="J502" s="1" t="s">
        <v>2427</v>
      </c>
      <c r="K502">
        <v>928</v>
      </c>
      <c r="L502">
        <v>505</v>
      </c>
      <c r="M502">
        <v>214</v>
      </c>
      <c r="N502">
        <v>155</v>
      </c>
      <c r="O502" s="2" t="s">
        <v>2428</v>
      </c>
      <c r="P502">
        <v>1</v>
      </c>
      <c r="Q502" t="s">
        <v>2429</v>
      </c>
      <c r="R502">
        <v>1</v>
      </c>
      <c r="S502" t="s">
        <v>2430</v>
      </c>
      <c r="T502">
        <v>1</v>
      </c>
      <c r="U502" t="s">
        <v>2431</v>
      </c>
      <c r="V502" t="s">
        <v>2345</v>
      </c>
    </row>
    <row r="503" spans="1:22" hidden="1" x14ac:dyDescent="0.2">
      <c r="A503" t="s">
        <v>140</v>
      </c>
      <c r="B503" t="s">
        <v>2119</v>
      </c>
      <c r="C503" t="s">
        <v>24</v>
      </c>
      <c r="D503" t="s">
        <v>2339</v>
      </c>
      <c r="E503" t="s">
        <v>26</v>
      </c>
      <c r="F503" t="s">
        <v>141</v>
      </c>
      <c r="G503" t="s">
        <v>28</v>
      </c>
      <c r="H503">
        <v>1</v>
      </c>
      <c r="I503" s="1" t="s">
        <v>2432</v>
      </c>
      <c r="J503" s="1" t="s">
        <v>2433</v>
      </c>
      <c r="K503">
        <v>836</v>
      </c>
      <c r="L503">
        <v>454</v>
      </c>
      <c r="M503">
        <v>505</v>
      </c>
      <c r="N503">
        <v>35</v>
      </c>
      <c r="O503">
        <v>8.4948596954345703</v>
      </c>
      <c r="P503">
        <v>1</v>
      </c>
      <c r="Q503" t="s">
        <v>2434</v>
      </c>
      <c r="R503">
        <v>1</v>
      </c>
      <c r="S503" t="s">
        <v>2435</v>
      </c>
      <c r="T503">
        <v>1</v>
      </c>
      <c r="U503" t="s">
        <v>393</v>
      </c>
      <c r="V503" t="s">
        <v>2345</v>
      </c>
    </row>
    <row r="504" spans="1:22" hidden="1" x14ac:dyDescent="0.2">
      <c r="A504" t="s">
        <v>140</v>
      </c>
      <c r="B504" t="s">
        <v>2119</v>
      </c>
      <c r="C504" t="s">
        <v>24</v>
      </c>
      <c r="D504" t="s">
        <v>2339</v>
      </c>
      <c r="E504" t="s">
        <v>26</v>
      </c>
      <c r="F504" t="s">
        <v>141</v>
      </c>
      <c r="G504" t="s">
        <v>28</v>
      </c>
      <c r="H504">
        <v>2</v>
      </c>
      <c r="I504" s="1" t="s">
        <v>2432</v>
      </c>
      <c r="J504" t="s">
        <v>2436</v>
      </c>
      <c r="K504">
        <v>836</v>
      </c>
      <c r="L504">
        <v>454</v>
      </c>
      <c r="M504">
        <v>428</v>
      </c>
      <c r="N504">
        <v>26</v>
      </c>
      <c r="O504" s="2" t="s">
        <v>2437</v>
      </c>
      <c r="P504">
        <v>1</v>
      </c>
      <c r="Q504" t="s">
        <v>2438</v>
      </c>
      <c r="R504">
        <v>1</v>
      </c>
      <c r="S504" t="s">
        <v>2439</v>
      </c>
      <c r="T504">
        <v>1</v>
      </c>
      <c r="U504" t="s">
        <v>393</v>
      </c>
      <c r="V504" t="s">
        <v>2345</v>
      </c>
    </row>
    <row r="505" spans="1:22" hidden="1" x14ac:dyDescent="0.2">
      <c r="A505" t="s">
        <v>140</v>
      </c>
      <c r="B505" t="s">
        <v>2119</v>
      </c>
      <c r="C505" t="s">
        <v>24</v>
      </c>
      <c r="D505" t="s">
        <v>2339</v>
      </c>
      <c r="E505" t="s">
        <v>26</v>
      </c>
      <c r="F505" t="s">
        <v>141</v>
      </c>
      <c r="G505" t="s">
        <v>28</v>
      </c>
      <c r="H505">
        <v>3</v>
      </c>
      <c r="I505" s="1" t="s">
        <v>2432</v>
      </c>
      <c r="J505" t="s">
        <v>2440</v>
      </c>
      <c r="K505">
        <v>836</v>
      </c>
      <c r="L505">
        <v>454</v>
      </c>
      <c r="M505">
        <v>499</v>
      </c>
      <c r="N505">
        <v>31</v>
      </c>
      <c r="O505" s="2" t="s">
        <v>2441</v>
      </c>
      <c r="P505">
        <v>1</v>
      </c>
      <c r="Q505" t="s">
        <v>2442</v>
      </c>
      <c r="R505">
        <v>0</v>
      </c>
      <c r="S505" t="s">
        <v>2443</v>
      </c>
      <c r="T505">
        <v>1</v>
      </c>
      <c r="U505" t="s">
        <v>109</v>
      </c>
      <c r="V505" t="s">
        <v>2345</v>
      </c>
    </row>
    <row r="506" spans="1:22" hidden="1" x14ac:dyDescent="0.2">
      <c r="A506" t="s">
        <v>22</v>
      </c>
      <c r="B506" t="s">
        <v>2119</v>
      </c>
      <c r="C506" t="s">
        <v>24</v>
      </c>
      <c r="D506" t="s">
        <v>2444</v>
      </c>
      <c r="E506" t="s">
        <v>395</v>
      </c>
      <c r="F506" t="s">
        <v>27</v>
      </c>
      <c r="G506" t="s">
        <v>28</v>
      </c>
      <c r="H506">
        <v>1</v>
      </c>
      <c r="I506" s="1" t="s">
        <v>2445</v>
      </c>
      <c r="J506" s="1" t="s">
        <v>2446</v>
      </c>
      <c r="K506">
        <v>1299</v>
      </c>
      <c r="L506">
        <v>551</v>
      </c>
      <c r="M506">
        <v>155</v>
      </c>
      <c r="N506">
        <v>85</v>
      </c>
      <c r="O506" s="2" t="s">
        <v>2447</v>
      </c>
      <c r="P506">
        <v>1</v>
      </c>
      <c r="Q506" t="s">
        <v>2448</v>
      </c>
      <c r="R506">
        <v>1</v>
      </c>
      <c r="S506" t="s">
        <v>2449</v>
      </c>
      <c r="T506">
        <v>1</v>
      </c>
      <c r="U506" t="s">
        <v>325</v>
      </c>
      <c r="V506" t="s">
        <v>2450</v>
      </c>
    </row>
    <row r="507" spans="1:22" hidden="1" x14ac:dyDescent="0.2">
      <c r="A507" t="s">
        <v>22</v>
      </c>
      <c r="B507" t="s">
        <v>2119</v>
      </c>
      <c r="C507" t="s">
        <v>24</v>
      </c>
      <c r="D507" t="s">
        <v>2444</v>
      </c>
      <c r="E507" t="s">
        <v>395</v>
      </c>
      <c r="F507" t="s">
        <v>27</v>
      </c>
      <c r="G507" t="s">
        <v>28</v>
      </c>
      <c r="H507">
        <v>2</v>
      </c>
      <c r="I507" s="1" t="s">
        <v>2445</v>
      </c>
      <c r="J507" s="1" t="s">
        <v>2451</v>
      </c>
      <c r="K507">
        <v>1299</v>
      </c>
      <c r="L507">
        <v>551</v>
      </c>
      <c r="M507">
        <v>136</v>
      </c>
      <c r="N507">
        <v>77</v>
      </c>
      <c r="O507" s="2" t="s">
        <v>2452</v>
      </c>
      <c r="P507">
        <v>1</v>
      </c>
      <c r="Q507" t="s">
        <v>2453</v>
      </c>
      <c r="R507">
        <v>1</v>
      </c>
      <c r="S507" t="s">
        <v>2454</v>
      </c>
      <c r="T507">
        <v>1</v>
      </c>
      <c r="U507" t="s">
        <v>1256</v>
      </c>
      <c r="V507" t="s">
        <v>2450</v>
      </c>
    </row>
    <row r="508" spans="1:22" hidden="1" x14ac:dyDescent="0.2">
      <c r="A508" t="s">
        <v>22</v>
      </c>
      <c r="B508" t="s">
        <v>2119</v>
      </c>
      <c r="C508" t="s">
        <v>24</v>
      </c>
      <c r="D508" t="s">
        <v>2444</v>
      </c>
      <c r="E508" t="s">
        <v>395</v>
      </c>
      <c r="F508" t="s">
        <v>27</v>
      </c>
      <c r="G508" t="s">
        <v>28</v>
      </c>
      <c r="H508">
        <v>3</v>
      </c>
      <c r="I508" s="1" t="s">
        <v>2445</v>
      </c>
      <c r="J508" s="1" t="s">
        <v>2455</v>
      </c>
      <c r="K508">
        <v>1299</v>
      </c>
      <c r="L508">
        <v>551</v>
      </c>
      <c r="M508">
        <v>143</v>
      </c>
      <c r="N508">
        <v>84</v>
      </c>
      <c r="O508" s="2" t="s">
        <v>2456</v>
      </c>
      <c r="P508">
        <v>1</v>
      </c>
      <c r="Q508" t="s">
        <v>2457</v>
      </c>
      <c r="R508">
        <v>1</v>
      </c>
      <c r="S508" t="s">
        <v>2458</v>
      </c>
      <c r="T508">
        <v>1</v>
      </c>
      <c r="U508" t="s">
        <v>2459</v>
      </c>
      <c r="V508" t="s">
        <v>2450</v>
      </c>
    </row>
    <row r="509" spans="1:22" hidden="1" x14ac:dyDescent="0.2">
      <c r="A509" t="s">
        <v>22</v>
      </c>
      <c r="B509" t="s">
        <v>2119</v>
      </c>
      <c r="C509" t="s">
        <v>24</v>
      </c>
      <c r="D509" t="s">
        <v>2444</v>
      </c>
      <c r="E509" t="s">
        <v>395</v>
      </c>
      <c r="F509" t="s">
        <v>46</v>
      </c>
      <c r="G509" t="s">
        <v>28</v>
      </c>
      <c r="H509">
        <v>1</v>
      </c>
      <c r="I509" s="1" t="s">
        <v>2460</v>
      </c>
      <c r="J509" s="1" t="s">
        <v>2461</v>
      </c>
      <c r="K509">
        <v>1327</v>
      </c>
      <c r="L509">
        <v>565</v>
      </c>
      <c r="M509">
        <v>202</v>
      </c>
      <c r="N509">
        <v>121</v>
      </c>
      <c r="O509" s="2" t="s">
        <v>2462</v>
      </c>
      <c r="P509">
        <v>1</v>
      </c>
      <c r="Q509" t="s">
        <v>2463</v>
      </c>
      <c r="R509">
        <v>1</v>
      </c>
      <c r="S509" t="s">
        <v>2464</v>
      </c>
      <c r="T509">
        <v>1</v>
      </c>
      <c r="U509" t="s">
        <v>109</v>
      </c>
      <c r="V509" t="s">
        <v>2450</v>
      </c>
    </row>
    <row r="510" spans="1:22" hidden="1" x14ac:dyDescent="0.2">
      <c r="A510" t="s">
        <v>22</v>
      </c>
      <c r="B510" t="s">
        <v>2119</v>
      </c>
      <c r="C510" t="s">
        <v>24</v>
      </c>
      <c r="D510" t="s">
        <v>2444</v>
      </c>
      <c r="E510" t="s">
        <v>395</v>
      </c>
      <c r="F510" t="s">
        <v>46</v>
      </c>
      <c r="G510" t="s">
        <v>28</v>
      </c>
      <c r="H510">
        <v>2</v>
      </c>
      <c r="I510" s="1" t="s">
        <v>2460</v>
      </c>
      <c r="J510" s="1" t="s">
        <v>2465</v>
      </c>
      <c r="K510">
        <v>1327</v>
      </c>
      <c r="L510">
        <v>565</v>
      </c>
      <c r="M510">
        <v>217</v>
      </c>
      <c r="N510">
        <v>138</v>
      </c>
      <c r="O510" s="2" t="s">
        <v>2466</v>
      </c>
      <c r="P510">
        <v>1</v>
      </c>
      <c r="Q510" t="s">
        <v>2467</v>
      </c>
      <c r="R510">
        <v>1</v>
      </c>
      <c r="S510" t="s">
        <v>2468</v>
      </c>
      <c r="T510">
        <v>1</v>
      </c>
      <c r="U510" t="s">
        <v>2469</v>
      </c>
      <c r="V510" t="s">
        <v>2450</v>
      </c>
    </row>
    <row r="511" spans="1:22" hidden="1" x14ac:dyDescent="0.2">
      <c r="A511" t="s">
        <v>22</v>
      </c>
      <c r="B511" t="s">
        <v>2119</v>
      </c>
      <c r="C511" t="s">
        <v>24</v>
      </c>
      <c r="D511" t="s">
        <v>2444</v>
      </c>
      <c r="E511" t="s">
        <v>395</v>
      </c>
      <c r="F511" t="s">
        <v>46</v>
      </c>
      <c r="G511" t="s">
        <v>28</v>
      </c>
      <c r="H511">
        <v>3</v>
      </c>
      <c r="I511" s="1" t="s">
        <v>2460</v>
      </c>
      <c r="J511" s="1" t="s">
        <v>2470</v>
      </c>
      <c r="K511">
        <v>1327</v>
      </c>
      <c r="L511">
        <v>565</v>
      </c>
      <c r="M511">
        <v>218</v>
      </c>
      <c r="N511">
        <v>138</v>
      </c>
      <c r="O511" s="2" t="s">
        <v>2471</v>
      </c>
      <c r="P511">
        <v>0</v>
      </c>
      <c r="Q511" t="s">
        <v>2472</v>
      </c>
      <c r="R511">
        <v>1</v>
      </c>
      <c r="S511" t="s">
        <v>2473</v>
      </c>
      <c r="T511">
        <v>1</v>
      </c>
      <c r="U511" t="s">
        <v>1163</v>
      </c>
      <c r="V511" t="s">
        <v>2450</v>
      </c>
    </row>
    <row r="512" spans="1:22" hidden="1" x14ac:dyDescent="0.2">
      <c r="A512" t="s">
        <v>22</v>
      </c>
      <c r="B512" t="s">
        <v>2119</v>
      </c>
      <c r="C512" t="s">
        <v>24</v>
      </c>
      <c r="D512" t="s">
        <v>2444</v>
      </c>
      <c r="E512" t="s">
        <v>395</v>
      </c>
      <c r="F512" t="s">
        <v>61</v>
      </c>
      <c r="G512" t="s">
        <v>28</v>
      </c>
      <c r="H512">
        <v>1</v>
      </c>
      <c r="I512" s="1" t="s">
        <v>2474</v>
      </c>
      <c r="J512" s="1" t="s">
        <v>2475</v>
      </c>
      <c r="K512">
        <v>1362</v>
      </c>
      <c r="L512">
        <v>587</v>
      </c>
      <c r="M512">
        <v>220</v>
      </c>
      <c r="N512">
        <v>127</v>
      </c>
      <c r="O512" s="2" t="s">
        <v>2476</v>
      </c>
      <c r="P512">
        <v>1</v>
      </c>
      <c r="Q512" t="s">
        <v>2477</v>
      </c>
      <c r="R512">
        <v>1</v>
      </c>
      <c r="S512" t="s">
        <v>2478</v>
      </c>
      <c r="T512">
        <v>1</v>
      </c>
      <c r="U512" t="s">
        <v>2479</v>
      </c>
      <c r="V512" t="s">
        <v>2450</v>
      </c>
    </row>
    <row r="513" spans="1:22" hidden="1" x14ac:dyDescent="0.2">
      <c r="A513" t="s">
        <v>22</v>
      </c>
      <c r="B513" t="s">
        <v>2119</v>
      </c>
      <c r="C513" t="s">
        <v>24</v>
      </c>
      <c r="D513" t="s">
        <v>2444</v>
      </c>
      <c r="E513" t="s">
        <v>395</v>
      </c>
      <c r="F513" t="s">
        <v>61</v>
      </c>
      <c r="G513" t="s">
        <v>28</v>
      </c>
      <c r="H513">
        <v>2</v>
      </c>
      <c r="I513" s="1" t="s">
        <v>2474</v>
      </c>
      <c r="J513" s="1" t="s">
        <v>2480</v>
      </c>
      <c r="K513">
        <v>1362</v>
      </c>
      <c r="L513">
        <v>587</v>
      </c>
      <c r="M513">
        <v>195</v>
      </c>
      <c r="N513">
        <v>109</v>
      </c>
      <c r="O513" s="2" t="s">
        <v>2481</v>
      </c>
      <c r="P513">
        <v>1</v>
      </c>
      <c r="Q513" t="s">
        <v>2482</v>
      </c>
      <c r="R513">
        <v>1</v>
      </c>
      <c r="S513" t="s">
        <v>2483</v>
      </c>
      <c r="T513">
        <v>1</v>
      </c>
      <c r="U513" t="s">
        <v>2484</v>
      </c>
      <c r="V513" t="s">
        <v>2450</v>
      </c>
    </row>
    <row r="514" spans="1:22" hidden="1" x14ac:dyDescent="0.2">
      <c r="A514" t="s">
        <v>22</v>
      </c>
      <c r="B514" t="s">
        <v>2119</v>
      </c>
      <c r="C514" t="s">
        <v>24</v>
      </c>
      <c r="D514" t="s">
        <v>2444</v>
      </c>
      <c r="E514" t="s">
        <v>395</v>
      </c>
      <c r="F514" t="s">
        <v>61</v>
      </c>
      <c r="G514" t="s">
        <v>28</v>
      </c>
      <c r="H514">
        <v>3</v>
      </c>
      <c r="I514" s="1" t="s">
        <v>2474</v>
      </c>
      <c r="J514" s="1" t="s">
        <v>2485</v>
      </c>
      <c r="K514">
        <v>1362</v>
      </c>
      <c r="L514">
        <v>587</v>
      </c>
      <c r="M514">
        <v>206</v>
      </c>
      <c r="N514">
        <v>119</v>
      </c>
      <c r="O514" s="2" t="s">
        <v>2486</v>
      </c>
      <c r="P514">
        <v>1</v>
      </c>
      <c r="Q514" t="s">
        <v>2487</v>
      </c>
      <c r="R514">
        <v>1</v>
      </c>
      <c r="S514" t="s">
        <v>2488</v>
      </c>
      <c r="T514">
        <v>1</v>
      </c>
      <c r="U514" t="s">
        <v>2489</v>
      </c>
      <c r="V514" t="s">
        <v>2450</v>
      </c>
    </row>
    <row r="515" spans="1:22" hidden="1" x14ac:dyDescent="0.2">
      <c r="A515" t="s">
        <v>76</v>
      </c>
      <c r="B515" t="s">
        <v>2119</v>
      </c>
      <c r="C515" t="s">
        <v>24</v>
      </c>
      <c r="D515" t="s">
        <v>2444</v>
      </c>
      <c r="E515" t="s">
        <v>395</v>
      </c>
      <c r="F515" t="s">
        <v>77</v>
      </c>
      <c r="G515" t="s">
        <v>28</v>
      </c>
      <c r="H515">
        <v>1</v>
      </c>
      <c r="I515" s="1" t="s">
        <v>2474</v>
      </c>
      <c r="J515" s="1" t="s">
        <v>2490</v>
      </c>
      <c r="K515">
        <v>1141</v>
      </c>
      <c r="L515">
        <v>587</v>
      </c>
      <c r="M515">
        <v>154</v>
      </c>
      <c r="N515">
        <v>97</v>
      </c>
      <c r="O515" s="2" t="s">
        <v>2491</v>
      </c>
      <c r="P515">
        <v>1</v>
      </c>
      <c r="Q515" t="s">
        <v>2492</v>
      </c>
      <c r="R515">
        <v>1</v>
      </c>
      <c r="S515" t="s">
        <v>2493</v>
      </c>
      <c r="T515">
        <v>1</v>
      </c>
      <c r="U515" t="s">
        <v>339</v>
      </c>
      <c r="V515" t="s">
        <v>2450</v>
      </c>
    </row>
    <row r="516" spans="1:22" hidden="1" x14ac:dyDescent="0.2">
      <c r="A516" t="s">
        <v>76</v>
      </c>
      <c r="B516" t="s">
        <v>2119</v>
      </c>
      <c r="C516" t="s">
        <v>24</v>
      </c>
      <c r="D516" t="s">
        <v>2444</v>
      </c>
      <c r="E516" t="s">
        <v>395</v>
      </c>
      <c r="F516" t="s">
        <v>77</v>
      </c>
      <c r="G516" t="s">
        <v>28</v>
      </c>
      <c r="H516">
        <v>2</v>
      </c>
      <c r="I516" s="1" t="s">
        <v>2474</v>
      </c>
      <c r="J516" s="1" t="s">
        <v>2494</v>
      </c>
      <c r="K516">
        <v>1141</v>
      </c>
      <c r="L516">
        <v>587</v>
      </c>
      <c r="M516">
        <v>162</v>
      </c>
      <c r="N516">
        <v>105</v>
      </c>
      <c r="O516" s="2" t="s">
        <v>2495</v>
      </c>
      <c r="P516">
        <v>1</v>
      </c>
      <c r="Q516" t="s">
        <v>2496</v>
      </c>
      <c r="R516">
        <v>1</v>
      </c>
      <c r="S516" t="s">
        <v>2497</v>
      </c>
      <c r="T516">
        <v>1</v>
      </c>
      <c r="U516" t="s">
        <v>1279</v>
      </c>
      <c r="V516" t="s">
        <v>2450</v>
      </c>
    </row>
    <row r="517" spans="1:22" hidden="1" x14ac:dyDescent="0.2">
      <c r="A517" t="s">
        <v>76</v>
      </c>
      <c r="B517" t="s">
        <v>2119</v>
      </c>
      <c r="C517" t="s">
        <v>24</v>
      </c>
      <c r="D517" t="s">
        <v>2444</v>
      </c>
      <c r="E517" t="s">
        <v>395</v>
      </c>
      <c r="F517" t="s">
        <v>77</v>
      </c>
      <c r="G517" t="s">
        <v>28</v>
      </c>
      <c r="H517">
        <v>3</v>
      </c>
      <c r="I517" s="1" t="s">
        <v>2474</v>
      </c>
      <c r="J517" s="1" t="s">
        <v>2498</v>
      </c>
      <c r="K517">
        <v>1141</v>
      </c>
      <c r="L517">
        <v>587</v>
      </c>
      <c r="M517">
        <v>156</v>
      </c>
      <c r="N517">
        <v>97</v>
      </c>
      <c r="O517" s="2" t="s">
        <v>2499</v>
      </c>
      <c r="P517">
        <v>1</v>
      </c>
      <c r="Q517" t="s">
        <v>2500</v>
      </c>
      <c r="R517">
        <v>1</v>
      </c>
      <c r="S517" t="s">
        <v>2501</v>
      </c>
      <c r="T517">
        <v>1</v>
      </c>
      <c r="U517" t="s">
        <v>2502</v>
      </c>
      <c r="V517" t="s">
        <v>2450</v>
      </c>
    </row>
    <row r="518" spans="1:22" hidden="1" x14ac:dyDescent="0.2">
      <c r="A518" t="s">
        <v>93</v>
      </c>
      <c r="B518" t="s">
        <v>2119</v>
      </c>
      <c r="C518" t="s">
        <v>24</v>
      </c>
      <c r="D518" t="s">
        <v>2444</v>
      </c>
      <c r="E518" t="s">
        <v>395</v>
      </c>
      <c r="F518" t="s">
        <v>94</v>
      </c>
      <c r="G518" t="s">
        <v>28</v>
      </c>
      <c r="H518">
        <v>1</v>
      </c>
      <c r="I518" s="1" t="s">
        <v>2445</v>
      </c>
      <c r="J518" s="1" t="s">
        <v>2503</v>
      </c>
      <c r="K518">
        <v>1085</v>
      </c>
      <c r="L518">
        <v>551</v>
      </c>
      <c r="M518">
        <v>108</v>
      </c>
      <c r="N518">
        <v>70</v>
      </c>
      <c r="O518" s="2" t="s">
        <v>2504</v>
      </c>
      <c r="P518">
        <v>1</v>
      </c>
      <c r="Q518" t="s">
        <v>2505</v>
      </c>
      <c r="R518">
        <v>1</v>
      </c>
      <c r="S518" t="s">
        <v>2506</v>
      </c>
      <c r="T518">
        <v>1</v>
      </c>
      <c r="U518" t="s">
        <v>2507</v>
      </c>
      <c r="V518" t="s">
        <v>2450</v>
      </c>
    </row>
    <row r="519" spans="1:22" hidden="1" x14ac:dyDescent="0.2">
      <c r="A519" t="s">
        <v>93</v>
      </c>
      <c r="B519" t="s">
        <v>2119</v>
      </c>
      <c r="C519" t="s">
        <v>24</v>
      </c>
      <c r="D519" t="s">
        <v>2444</v>
      </c>
      <c r="E519" t="s">
        <v>395</v>
      </c>
      <c r="F519" t="s">
        <v>94</v>
      </c>
      <c r="G519" t="s">
        <v>28</v>
      </c>
      <c r="H519">
        <v>2</v>
      </c>
      <c r="I519" s="1" t="s">
        <v>2445</v>
      </c>
      <c r="J519" s="1" t="s">
        <v>2508</v>
      </c>
      <c r="K519">
        <v>1085</v>
      </c>
      <c r="L519">
        <v>551</v>
      </c>
      <c r="M519">
        <v>111</v>
      </c>
      <c r="N519">
        <v>75</v>
      </c>
      <c r="O519" s="2" t="s">
        <v>2509</v>
      </c>
      <c r="P519">
        <v>1</v>
      </c>
      <c r="Q519" t="s">
        <v>2510</v>
      </c>
      <c r="R519">
        <v>1</v>
      </c>
      <c r="S519" t="s">
        <v>2511</v>
      </c>
      <c r="T519">
        <v>1</v>
      </c>
      <c r="U519" t="s">
        <v>213</v>
      </c>
      <c r="V519" t="s">
        <v>2450</v>
      </c>
    </row>
    <row r="520" spans="1:22" hidden="1" x14ac:dyDescent="0.2">
      <c r="A520" t="s">
        <v>93</v>
      </c>
      <c r="B520" t="s">
        <v>2119</v>
      </c>
      <c r="C520" t="s">
        <v>24</v>
      </c>
      <c r="D520" t="s">
        <v>2444</v>
      </c>
      <c r="E520" t="s">
        <v>395</v>
      </c>
      <c r="F520" t="s">
        <v>94</v>
      </c>
      <c r="G520" t="s">
        <v>28</v>
      </c>
      <c r="H520">
        <v>3</v>
      </c>
      <c r="I520" s="1" t="s">
        <v>2445</v>
      </c>
      <c r="J520" s="1" t="s">
        <v>2512</v>
      </c>
      <c r="K520">
        <v>1085</v>
      </c>
      <c r="L520">
        <v>551</v>
      </c>
      <c r="M520">
        <v>95</v>
      </c>
      <c r="N520">
        <v>59</v>
      </c>
      <c r="O520" s="2" t="s">
        <v>2513</v>
      </c>
      <c r="P520">
        <v>1</v>
      </c>
      <c r="Q520" t="s">
        <v>2514</v>
      </c>
      <c r="R520">
        <v>1</v>
      </c>
      <c r="S520" t="s">
        <v>2515</v>
      </c>
      <c r="T520">
        <v>1</v>
      </c>
      <c r="U520" t="s">
        <v>2516</v>
      </c>
      <c r="V520" t="s">
        <v>2450</v>
      </c>
    </row>
    <row r="521" spans="1:22" hidden="1" x14ac:dyDescent="0.2">
      <c r="A521" t="s">
        <v>93</v>
      </c>
      <c r="B521" t="s">
        <v>2119</v>
      </c>
      <c r="C521" t="s">
        <v>24</v>
      </c>
      <c r="D521" t="s">
        <v>2444</v>
      </c>
      <c r="E521" t="s">
        <v>395</v>
      </c>
      <c r="F521" t="s">
        <v>110</v>
      </c>
      <c r="G521" t="s">
        <v>28</v>
      </c>
      <c r="H521">
        <v>1</v>
      </c>
      <c r="I521" s="1" t="s">
        <v>2460</v>
      </c>
      <c r="J521" s="1" t="s">
        <v>2517</v>
      </c>
      <c r="K521">
        <v>1110</v>
      </c>
      <c r="L521">
        <v>565</v>
      </c>
      <c r="M521">
        <v>153</v>
      </c>
      <c r="N521">
        <v>100</v>
      </c>
      <c r="O521" s="2" t="s">
        <v>2518</v>
      </c>
      <c r="P521">
        <v>1</v>
      </c>
      <c r="Q521" t="s">
        <v>2519</v>
      </c>
      <c r="R521">
        <v>1</v>
      </c>
      <c r="S521" t="s">
        <v>2520</v>
      </c>
      <c r="T521">
        <v>1</v>
      </c>
      <c r="U521" t="s">
        <v>2521</v>
      </c>
      <c r="V521" t="s">
        <v>2450</v>
      </c>
    </row>
    <row r="522" spans="1:22" hidden="1" x14ac:dyDescent="0.2">
      <c r="A522" t="s">
        <v>93</v>
      </c>
      <c r="B522" t="s">
        <v>2119</v>
      </c>
      <c r="C522" t="s">
        <v>24</v>
      </c>
      <c r="D522" t="s">
        <v>2444</v>
      </c>
      <c r="E522" t="s">
        <v>395</v>
      </c>
      <c r="F522" t="s">
        <v>110</v>
      </c>
      <c r="G522" t="s">
        <v>28</v>
      </c>
      <c r="H522">
        <v>2</v>
      </c>
      <c r="I522" s="1" t="s">
        <v>2460</v>
      </c>
      <c r="J522" s="1" t="s">
        <v>2522</v>
      </c>
      <c r="K522">
        <v>1110</v>
      </c>
      <c r="L522">
        <v>565</v>
      </c>
      <c r="M522">
        <v>177</v>
      </c>
      <c r="N522">
        <v>123</v>
      </c>
      <c r="O522" s="2" t="s">
        <v>2523</v>
      </c>
      <c r="P522">
        <v>1</v>
      </c>
      <c r="Q522" t="s">
        <v>2524</v>
      </c>
      <c r="R522">
        <v>1</v>
      </c>
      <c r="S522" t="s">
        <v>2525</v>
      </c>
      <c r="T522">
        <v>1</v>
      </c>
      <c r="U522" t="s">
        <v>1163</v>
      </c>
      <c r="V522" t="s">
        <v>2450</v>
      </c>
    </row>
    <row r="523" spans="1:22" hidden="1" x14ac:dyDescent="0.2">
      <c r="A523" t="s">
        <v>93</v>
      </c>
      <c r="B523" t="s">
        <v>2119</v>
      </c>
      <c r="C523" t="s">
        <v>24</v>
      </c>
      <c r="D523" t="s">
        <v>2444</v>
      </c>
      <c r="E523" t="s">
        <v>395</v>
      </c>
      <c r="F523" t="s">
        <v>110</v>
      </c>
      <c r="G523" t="s">
        <v>28</v>
      </c>
      <c r="H523">
        <v>3</v>
      </c>
      <c r="I523" s="1" t="s">
        <v>2460</v>
      </c>
      <c r="J523" s="1" t="s">
        <v>2526</v>
      </c>
      <c r="K523">
        <v>1110</v>
      </c>
      <c r="L523">
        <v>565</v>
      </c>
      <c r="M523">
        <v>201</v>
      </c>
      <c r="N523">
        <v>135</v>
      </c>
      <c r="O523" s="2" t="s">
        <v>2527</v>
      </c>
      <c r="P523">
        <v>1</v>
      </c>
      <c r="Q523" t="s">
        <v>2528</v>
      </c>
      <c r="R523">
        <v>1</v>
      </c>
      <c r="S523" t="s">
        <v>2529</v>
      </c>
      <c r="T523">
        <v>1</v>
      </c>
      <c r="U523" t="s">
        <v>2530</v>
      </c>
      <c r="V523" t="s">
        <v>2450</v>
      </c>
    </row>
    <row r="524" spans="1:22" hidden="1" x14ac:dyDescent="0.2">
      <c r="A524" t="s">
        <v>93</v>
      </c>
      <c r="B524" t="s">
        <v>2119</v>
      </c>
      <c r="C524" t="s">
        <v>24</v>
      </c>
      <c r="D524" t="s">
        <v>2444</v>
      </c>
      <c r="E524" t="s">
        <v>395</v>
      </c>
      <c r="F524" t="s">
        <v>125</v>
      </c>
      <c r="G524" t="s">
        <v>28</v>
      </c>
      <c r="H524">
        <v>1</v>
      </c>
      <c r="I524" s="1" t="s">
        <v>2474</v>
      </c>
      <c r="J524" s="1" t="s">
        <v>2531</v>
      </c>
      <c r="K524">
        <v>1141</v>
      </c>
      <c r="L524">
        <v>587</v>
      </c>
      <c r="M524">
        <v>135</v>
      </c>
      <c r="N524">
        <v>77</v>
      </c>
      <c r="O524" s="2" t="s">
        <v>2532</v>
      </c>
      <c r="P524">
        <v>0</v>
      </c>
      <c r="Q524" t="s">
        <v>2533</v>
      </c>
      <c r="R524">
        <v>1</v>
      </c>
      <c r="S524" t="s">
        <v>2534</v>
      </c>
      <c r="T524">
        <v>1</v>
      </c>
      <c r="U524" t="s">
        <v>1046</v>
      </c>
      <c r="V524" t="s">
        <v>2450</v>
      </c>
    </row>
    <row r="525" spans="1:22" hidden="1" x14ac:dyDescent="0.2">
      <c r="A525" t="s">
        <v>93</v>
      </c>
      <c r="B525" t="s">
        <v>2119</v>
      </c>
      <c r="C525" t="s">
        <v>24</v>
      </c>
      <c r="D525" t="s">
        <v>2444</v>
      </c>
      <c r="E525" t="s">
        <v>395</v>
      </c>
      <c r="F525" t="s">
        <v>125</v>
      </c>
      <c r="G525" t="s">
        <v>28</v>
      </c>
      <c r="H525">
        <v>2</v>
      </c>
      <c r="I525" s="1" t="s">
        <v>2474</v>
      </c>
      <c r="J525" s="1" t="s">
        <v>2535</v>
      </c>
      <c r="K525">
        <v>1141</v>
      </c>
      <c r="L525">
        <v>587</v>
      </c>
      <c r="M525">
        <v>155</v>
      </c>
      <c r="N525">
        <v>95</v>
      </c>
      <c r="O525" s="2" t="s">
        <v>2536</v>
      </c>
      <c r="P525">
        <v>1</v>
      </c>
      <c r="Q525" t="s">
        <v>2537</v>
      </c>
      <c r="R525">
        <v>1</v>
      </c>
      <c r="S525" t="s">
        <v>2538</v>
      </c>
      <c r="T525">
        <v>1</v>
      </c>
      <c r="U525" t="s">
        <v>2539</v>
      </c>
      <c r="V525" t="s">
        <v>2450</v>
      </c>
    </row>
    <row r="526" spans="1:22" hidden="1" x14ac:dyDescent="0.2">
      <c r="A526" t="s">
        <v>93</v>
      </c>
      <c r="B526" t="s">
        <v>2119</v>
      </c>
      <c r="C526" t="s">
        <v>24</v>
      </c>
      <c r="D526" t="s">
        <v>2444</v>
      </c>
      <c r="E526" t="s">
        <v>395</v>
      </c>
      <c r="F526" t="s">
        <v>125</v>
      </c>
      <c r="G526" t="s">
        <v>28</v>
      </c>
      <c r="H526">
        <v>3</v>
      </c>
      <c r="I526" s="1" t="s">
        <v>2474</v>
      </c>
      <c r="J526" s="1" t="s">
        <v>2540</v>
      </c>
      <c r="K526">
        <v>1141</v>
      </c>
      <c r="L526">
        <v>587</v>
      </c>
      <c r="M526">
        <v>177</v>
      </c>
      <c r="N526">
        <v>112</v>
      </c>
      <c r="O526" s="2" t="s">
        <v>2541</v>
      </c>
      <c r="P526">
        <v>1</v>
      </c>
      <c r="Q526" t="s">
        <v>2542</v>
      </c>
      <c r="R526">
        <v>1</v>
      </c>
      <c r="S526" t="s">
        <v>2543</v>
      </c>
      <c r="T526">
        <v>1</v>
      </c>
      <c r="U526" t="s">
        <v>339</v>
      </c>
      <c r="V526" t="s">
        <v>2450</v>
      </c>
    </row>
    <row r="527" spans="1:22" hidden="1" x14ac:dyDescent="0.2">
      <c r="A527" t="s">
        <v>140</v>
      </c>
      <c r="B527" t="s">
        <v>2119</v>
      </c>
      <c r="C527" t="s">
        <v>24</v>
      </c>
      <c r="D527" t="s">
        <v>2444</v>
      </c>
      <c r="E527" t="s">
        <v>395</v>
      </c>
      <c r="F527" t="s">
        <v>141</v>
      </c>
      <c r="G527" t="s">
        <v>28</v>
      </c>
      <c r="H527">
        <v>1</v>
      </c>
      <c r="I527" s="1" t="s">
        <v>2544</v>
      </c>
      <c r="J527" t="s">
        <v>2545</v>
      </c>
      <c r="K527">
        <v>1049</v>
      </c>
      <c r="L527">
        <v>536</v>
      </c>
      <c r="M527">
        <v>364</v>
      </c>
      <c r="N527">
        <v>26</v>
      </c>
      <c r="O527" s="2" t="s">
        <v>2546</v>
      </c>
      <c r="P527">
        <v>1</v>
      </c>
      <c r="Q527" t="s">
        <v>2547</v>
      </c>
      <c r="R527">
        <v>1</v>
      </c>
      <c r="S527" t="s">
        <v>2548</v>
      </c>
      <c r="T527">
        <v>1</v>
      </c>
      <c r="U527" t="s">
        <v>2549</v>
      </c>
      <c r="V527" t="s">
        <v>2450</v>
      </c>
    </row>
    <row r="528" spans="1:22" hidden="1" x14ac:dyDescent="0.2">
      <c r="A528" t="s">
        <v>140</v>
      </c>
      <c r="B528" t="s">
        <v>2119</v>
      </c>
      <c r="C528" t="s">
        <v>24</v>
      </c>
      <c r="D528" t="s">
        <v>2444</v>
      </c>
      <c r="E528" t="s">
        <v>395</v>
      </c>
      <c r="F528" t="s">
        <v>141</v>
      </c>
      <c r="G528" t="s">
        <v>28</v>
      </c>
      <c r="H528">
        <v>2</v>
      </c>
      <c r="I528" s="1" t="s">
        <v>2544</v>
      </c>
      <c r="J528" t="s">
        <v>2550</v>
      </c>
      <c r="K528">
        <v>1049</v>
      </c>
      <c r="L528">
        <v>536</v>
      </c>
      <c r="M528">
        <v>429</v>
      </c>
      <c r="N528">
        <v>28</v>
      </c>
      <c r="O528" s="2" t="s">
        <v>2551</v>
      </c>
      <c r="P528">
        <v>1</v>
      </c>
      <c r="Q528" t="s">
        <v>2552</v>
      </c>
      <c r="R528">
        <v>1</v>
      </c>
      <c r="S528" t="s">
        <v>2553</v>
      </c>
      <c r="T528">
        <v>1</v>
      </c>
      <c r="U528" t="s">
        <v>2554</v>
      </c>
      <c r="V528" t="s">
        <v>2450</v>
      </c>
    </row>
    <row r="529" spans="1:22" hidden="1" x14ac:dyDescent="0.2">
      <c r="A529" t="s">
        <v>140</v>
      </c>
      <c r="B529" t="s">
        <v>2119</v>
      </c>
      <c r="C529" t="s">
        <v>24</v>
      </c>
      <c r="D529" t="s">
        <v>2444</v>
      </c>
      <c r="E529" t="s">
        <v>395</v>
      </c>
      <c r="F529" t="s">
        <v>141</v>
      </c>
      <c r="G529" t="s">
        <v>28</v>
      </c>
      <c r="H529">
        <v>3</v>
      </c>
      <c r="I529" s="1" t="s">
        <v>2544</v>
      </c>
      <c r="J529" t="s">
        <v>2555</v>
      </c>
      <c r="K529">
        <v>1049</v>
      </c>
      <c r="L529">
        <v>536</v>
      </c>
      <c r="M529">
        <v>304</v>
      </c>
      <c r="N529">
        <v>28</v>
      </c>
      <c r="O529" s="2" t="s">
        <v>2556</v>
      </c>
      <c r="P529">
        <v>1</v>
      </c>
      <c r="Q529" t="s">
        <v>2557</v>
      </c>
      <c r="R529">
        <v>0</v>
      </c>
      <c r="S529" t="s">
        <v>2558</v>
      </c>
      <c r="T529">
        <v>1</v>
      </c>
      <c r="U529" t="s">
        <v>2559</v>
      </c>
      <c r="V529" t="s">
        <v>2450</v>
      </c>
    </row>
    <row r="530" spans="1:22" hidden="1" x14ac:dyDescent="0.2">
      <c r="A530" t="s">
        <v>22</v>
      </c>
      <c r="B530" t="s">
        <v>2119</v>
      </c>
      <c r="C530" t="s">
        <v>24</v>
      </c>
      <c r="D530" t="s">
        <v>2560</v>
      </c>
      <c r="E530" t="s">
        <v>395</v>
      </c>
      <c r="F530" t="s">
        <v>27</v>
      </c>
      <c r="G530" t="s">
        <v>28</v>
      </c>
      <c r="H530">
        <v>1</v>
      </c>
      <c r="I530" s="1" t="s">
        <v>2561</v>
      </c>
      <c r="J530" s="1" t="s">
        <v>2562</v>
      </c>
      <c r="K530">
        <v>1319</v>
      </c>
      <c r="L530">
        <v>584</v>
      </c>
      <c r="M530">
        <v>140</v>
      </c>
      <c r="N530">
        <v>88</v>
      </c>
      <c r="O530" s="2" t="s">
        <v>2563</v>
      </c>
      <c r="P530">
        <v>1</v>
      </c>
      <c r="Q530" t="s">
        <v>2564</v>
      </c>
      <c r="R530">
        <v>1</v>
      </c>
      <c r="S530" t="s">
        <v>2565</v>
      </c>
      <c r="T530">
        <v>1</v>
      </c>
      <c r="U530" t="s">
        <v>2566</v>
      </c>
      <c r="V530" t="s">
        <v>2567</v>
      </c>
    </row>
    <row r="531" spans="1:22" hidden="1" x14ac:dyDescent="0.2">
      <c r="A531" t="s">
        <v>22</v>
      </c>
      <c r="B531" t="s">
        <v>2119</v>
      </c>
      <c r="C531" t="s">
        <v>24</v>
      </c>
      <c r="D531" t="s">
        <v>2560</v>
      </c>
      <c r="E531" t="s">
        <v>395</v>
      </c>
      <c r="F531" t="s">
        <v>27</v>
      </c>
      <c r="G531" t="s">
        <v>28</v>
      </c>
      <c r="H531">
        <v>2</v>
      </c>
      <c r="I531" s="1" t="s">
        <v>2561</v>
      </c>
      <c r="J531" s="1" t="s">
        <v>2568</v>
      </c>
      <c r="K531">
        <v>1319</v>
      </c>
      <c r="L531">
        <v>584</v>
      </c>
      <c r="M531">
        <v>157</v>
      </c>
      <c r="N531">
        <v>99</v>
      </c>
      <c r="O531" s="2" t="s">
        <v>2569</v>
      </c>
      <c r="P531">
        <v>1</v>
      </c>
      <c r="Q531" t="s">
        <v>2570</v>
      </c>
      <c r="R531">
        <v>1</v>
      </c>
      <c r="S531" t="s">
        <v>2571</v>
      </c>
      <c r="T531">
        <v>1</v>
      </c>
      <c r="U531" t="s">
        <v>2572</v>
      </c>
      <c r="V531" t="s">
        <v>2567</v>
      </c>
    </row>
    <row r="532" spans="1:22" hidden="1" x14ac:dyDescent="0.2">
      <c r="A532" t="s">
        <v>22</v>
      </c>
      <c r="B532" t="s">
        <v>2119</v>
      </c>
      <c r="C532" t="s">
        <v>24</v>
      </c>
      <c r="D532" t="s">
        <v>2560</v>
      </c>
      <c r="E532" t="s">
        <v>395</v>
      </c>
      <c r="F532" t="s">
        <v>27</v>
      </c>
      <c r="G532" t="s">
        <v>28</v>
      </c>
      <c r="H532">
        <v>3</v>
      </c>
      <c r="I532" s="1" t="s">
        <v>2561</v>
      </c>
      <c r="J532" s="1" t="s">
        <v>2573</v>
      </c>
      <c r="K532">
        <v>1319</v>
      </c>
      <c r="L532">
        <v>584</v>
      </c>
      <c r="M532">
        <v>157</v>
      </c>
      <c r="N532">
        <v>89</v>
      </c>
      <c r="O532" s="2" t="s">
        <v>2574</v>
      </c>
      <c r="P532">
        <v>1</v>
      </c>
      <c r="Q532" t="s">
        <v>2575</v>
      </c>
      <c r="R532">
        <v>1</v>
      </c>
      <c r="S532" t="s">
        <v>2576</v>
      </c>
      <c r="T532">
        <v>1</v>
      </c>
      <c r="U532" t="s">
        <v>2577</v>
      </c>
      <c r="V532" t="s">
        <v>2567</v>
      </c>
    </row>
    <row r="533" spans="1:22" hidden="1" x14ac:dyDescent="0.2">
      <c r="A533" t="s">
        <v>22</v>
      </c>
      <c r="B533" t="s">
        <v>2119</v>
      </c>
      <c r="C533" t="s">
        <v>24</v>
      </c>
      <c r="D533" t="s">
        <v>2560</v>
      </c>
      <c r="E533" t="s">
        <v>395</v>
      </c>
      <c r="F533" t="s">
        <v>46</v>
      </c>
      <c r="G533" t="s">
        <v>28</v>
      </c>
      <c r="H533">
        <v>1</v>
      </c>
      <c r="I533" s="1" t="s">
        <v>2578</v>
      </c>
      <c r="J533" s="1" t="s">
        <v>2579</v>
      </c>
      <c r="K533">
        <v>1347</v>
      </c>
      <c r="L533">
        <v>598</v>
      </c>
      <c r="M533">
        <v>233</v>
      </c>
      <c r="N533">
        <v>145</v>
      </c>
      <c r="O533">
        <v>5.5792500972747803</v>
      </c>
      <c r="P533">
        <v>0</v>
      </c>
      <c r="Q533" t="s">
        <v>2580</v>
      </c>
      <c r="R533">
        <v>1</v>
      </c>
      <c r="S533" t="s">
        <v>2581</v>
      </c>
      <c r="T533">
        <v>1</v>
      </c>
      <c r="U533" t="s">
        <v>1256</v>
      </c>
      <c r="V533" t="s">
        <v>2567</v>
      </c>
    </row>
    <row r="534" spans="1:22" hidden="1" x14ac:dyDescent="0.2">
      <c r="A534" t="s">
        <v>22</v>
      </c>
      <c r="B534" t="s">
        <v>2119</v>
      </c>
      <c r="C534" t="s">
        <v>24</v>
      </c>
      <c r="D534" t="s">
        <v>2560</v>
      </c>
      <c r="E534" t="s">
        <v>395</v>
      </c>
      <c r="F534" t="s">
        <v>46</v>
      </c>
      <c r="G534" t="s">
        <v>28</v>
      </c>
      <c r="H534">
        <v>2</v>
      </c>
      <c r="I534" s="1" t="s">
        <v>2578</v>
      </c>
      <c r="J534" s="1" t="s">
        <v>2582</v>
      </c>
      <c r="K534">
        <v>1347</v>
      </c>
      <c r="L534">
        <v>598</v>
      </c>
      <c r="M534">
        <v>226</v>
      </c>
      <c r="N534">
        <v>147</v>
      </c>
      <c r="O534" s="2" t="s">
        <v>2583</v>
      </c>
      <c r="P534">
        <v>1</v>
      </c>
      <c r="Q534" t="s">
        <v>2584</v>
      </c>
      <c r="R534">
        <v>1</v>
      </c>
      <c r="S534" t="s">
        <v>2585</v>
      </c>
      <c r="T534">
        <v>1</v>
      </c>
      <c r="U534" t="s">
        <v>1256</v>
      </c>
      <c r="V534" t="s">
        <v>2567</v>
      </c>
    </row>
    <row r="535" spans="1:22" hidden="1" x14ac:dyDescent="0.2">
      <c r="A535" t="s">
        <v>22</v>
      </c>
      <c r="B535" t="s">
        <v>2119</v>
      </c>
      <c r="C535" t="s">
        <v>24</v>
      </c>
      <c r="D535" t="s">
        <v>2560</v>
      </c>
      <c r="E535" t="s">
        <v>395</v>
      </c>
      <c r="F535" t="s">
        <v>46</v>
      </c>
      <c r="G535" t="s">
        <v>28</v>
      </c>
      <c r="H535">
        <v>3</v>
      </c>
      <c r="I535" s="1" t="s">
        <v>2578</v>
      </c>
      <c r="J535" s="1" t="s">
        <v>2586</v>
      </c>
      <c r="K535">
        <v>1347</v>
      </c>
      <c r="L535">
        <v>598</v>
      </c>
      <c r="M535">
        <v>217</v>
      </c>
      <c r="N535">
        <v>140</v>
      </c>
      <c r="O535" s="2" t="s">
        <v>2587</v>
      </c>
      <c r="P535">
        <v>1</v>
      </c>
      <c r="Q535" t="s">
        <v>2588</v>
      </c>
      <c r="R535">
        <v>1</v>
      </c>
      <c r="S535" t="s">
        <v>2589</v>
      </c>
      <c r="T535">
        <v>1</v>
      </c>
      <c r="U535" t="s">
        <v>104</v>
      </c>
      <c r="V535" t="s">
        <v>2567</v>
      </c>
    </row>
    <row r="536" spans="1:22" hidden="1" x14ac:dyDescent="0.2">
      <c r="A536" t="s">
        <v>22</v>
      </c>
      <c r="B536" t="s">
        <v>2119</v>
      </c>
      <c r="C536" t="s">
        <v>24</v>
      </c>
      <c r="D536" t="s">
        <v>2560</v>
      </c>
      <c r="E536" t="s">
        <v>395</v>
      </c>
      <c r="F536" t="s">
        <v>61</v>
      </c>
      <c r="G536" t="s">
        <v>28</v>
      </c>
      <c r="H536">
        <v>1</v>
      </c>
      <c r="I536" s="1" t="s">
        <v>2590</v>
      </c>
      <c r="J536" s="1" t="s">
        <v>2591</v>
      </c>
      <c r="K536">
        <v>1382</v>
      </c>
      <c r="L536">
        <v>620</v>
      </c>
      <c r="M536">
        <v>215</v>
      </c>
      <c r="N536">
        <v>130</v>
      </c>
      <c r="O536" s="2" t="s">
        <v>2592</v>
      </c>
      <c r="P536">
        <v>1</v>
      </c>
      <c r="Q536" t="s">
        <v>2593</v>
      </c>
      <c r="R536">
        <v>1</v>
      </c>
      <c r="S536" t="s">
        <v>2594</v>
      </c>
      <c r="T536">
        <v>1</v>
      </c>
      <c r="U536" t="s">
        <v>823</v>
      </c>
      <c r="V536" t="s">
        <v>2567</v>
      </c>
    </row>
    <row r="537" spans="1:22" hidden="1" x14ac:dyDescent="0.2">
      <c r="A537" t="s">
        <v>22</v>
      </c>
      <c r="B537" t="s">
        <v>2119</v>
      </c>
      <c r="C537" t="s">
        <v>24</v>
      </c>
      <c r="D537" t="s">
        <v>2560</v>
      </c>
      <c r="E537" t="s">
        <v>395</v>
      </c>
      <c r="F537" t="s">
        <v>61</v>
      </c>
      <c r="G537" t="s">
        <v>28</v>
      </c>
      <c r="H537">
        <v>2</v>
      </c>
      <c r="I537" s="1" t="s">
        <v>2590</v>
      </c>
      <c r="J537" s="1" t="s">
        <v>2595</v>
      </c>
      <c r="K537">
        <v>1382</v>
      </c>
      <c r="L537">
        <v>620</v>
      </c>
      <c r="M537">
        <v>214</v>
      </c>
      <c r="N537">
        <v>126</v>
      </c>
      <c r="O537" s="2" t="s">
        <v>2596</v>
      </c>
      <c r="P537">
        <v>1</v>
      </c>
      <c r="Q537" t="s">
        <v>2597</v>
      </c>
      <c r="R537">
        <v>1</v>
      </c>
      <c r="S537" t="s">
        <v>2598</v>
      </c>
      <c r="T537">
        <v>1</v>
      </c>
      <c r="U537" t="s">
        <v>2599</v>
      </c>
      <c r="V537" t="s">
        <v>2567</v>
      </c>
    </row>
    <row r="538" spans="1:22" hidden="1" x14ac:dyDescent="0.2">
      <c r="A538" t="s">
        <v>22</v>
      </c>
      <c r="B538" t="s">
        <v>2119</v>
      </c>
      <c r="C538" t="s">
        <v>24</v>
      </c>
      <c r="D538" t="s">
        <v>2560</v>
      </c>
      <c r="E538" t="s">
        <v>395</v>
      </c>
      <c r="F538" t="s">
        <v>61</v>
      </c>
      <c r="G538" t="s">
        <v>28</v>
      </c>
      <c r="H538">
        <v>3</v>
      </c>
      <c r="I538" s="1" t="s">
        <v>2590</v>
      </c>
      <c r="J538" s="1" t="s">
        <v>2600</v>
      </c>
      <c r="K538">
        <v>1382</v>
      </c>
      <c r="L538">
        <v>620</v>
      </c>
      <c r="M538">
        <v>222</v>
      </c>
      <c r="N538">
        <v>125</v>
      </c>
      <c r="O538">
        <v>5.3236720561981201</v>
      </c>
      <c r="P538">
        <v>1</v>
      </c>
      <c r="Q538" t="s">
        <v>2601</v>
      </c>
      <c r="R538">
        <v>1</v>
      </c>
      <c r="S538" t="s">
        <v>2602</v>
      </c>
      <c r="T538">
        <v>1</v>
      </c>
      <c r="U538" t="s">
        <v>1830</v>
      </c>
      <c r="V538" t="s">
        <v>2567</v>
      </c>
    </row>
    <row r="539" spans="1:22" hidden="1" x14ac:dyDescent="0.2">
      <c r="A539" t="s">
        <v>76</v>
      </c>
      <c r="B539" t="s">
        <v>2119</v>
      </c>
      <c r="C539" t="s">
        <v>24</v>
      </c>
      <c r="D539" t="s">
        <v>2560</v>
      </c>
      <c r="E539" t="s">
        <v>395</v>
      </c>
      <c r="F539" t="s">
        <v>77</v>
      </c>
      <c r="G539" t="s">
        <v>28</v>
      </c>
      <c r="H539">
        <v>1</v>
      </c>
      <c r="I539" s="1" t="s">
        <v>2590</v>
      </c>
      <c r="J539" s="1" t="s">
        <v>2603</v>
      </c>
      <c r="K539">
        <v>1168</v>
      </c>
      <c r="L539">
        <v>620</v>
      </c>
      <c r="M539">
        <v>184</v>
      </c>
      <c r="N539">
        <v>125</v>
      </c>
      <c r="O539">
        <v>10.661068916320801</v>
      </c>
      <c r="P539">
        <v>0</v>
      </c>
      <c r="Q539" t="s">
        <v>2604</v>
      </c>
      <c r="R539">
        <v>1</v>
      </c>
      <c r="S539" t="s">
        <v>2605</v>
      </c>
      <c r="T539">
        <v>1</v>
      </c>
      <c r="U539" t="s">
        <v>104</v>
      </c>
      <c r="V539" t="s">
        <v>2567</v>
      </c>
    </row>
    <row r="540" spans="1:22" hidden="1" x14ac:dyDescent="0.2">
      <c r="A540" t="s">
        <v>76</v>
      </c>
      <c r="B540" t="s">
        <v>2119</v>
      </c>
      <c r="C540" t="s">
        <v>24</v>
      </c>
      <c r="D540" t="s">
        <v>2560</v>
      </c>
      <c r="E540" t="s">
        <v>395</v>
      </c>
      <c r="F540" t="s">
        <v>77</v>
      </c>
      <c r="G540" t="s">
        <v>28</v>
      </c>
      <c r="H540">
        <v>2</v>
      </c>
      <c r="I540" s="1" t="s">
        <v>2590</v>
      </c>
      <c r="J540" s="1" t="s">
        <v>2606</v>
      </c>
      <c r="K540">
        <v>1168</v>
      </c>
      <c r="L540">
        <v>620</v>
      </c>
      <c r="M540">
        <v>137</v>
      </c>
      <c r="N540">
        <v>82</v>
      </c>
      <c r="O540" s="2" t="s">
        <v>2607</v>
      </c>
      <c r="P540">
        <v>0</v>
      </c>
      <c r="Q540" t="s">
        <v>2608</v>
      </c>
      <c r="R540">
        <v>1</v>
      </c>
      <c r="S540" t="s">
        <v>2609</v>
      </c>
      <c r="T540">
        <v>1</v>
      </c>
      <c r="U540" t="s">
        <v>2610</v>
      </c>
      <c r="V540" t="s">
        <v>2567</v>
      </c>
    </row>
    <row r="541" spans="1:22" hidden="1" x14ac:dyDescent="0.2">
      <c r="A541" t="s">
        <v>76</v>
      </c>
      <c r="B541" t="s">
        <v>2119</v>
      </c>
      <c r="C541" t="s">
        <v>24</v>
      </c>
      <c r="D541" t="s">
        <v>2560</v>
      </c>
      <c r="E541" t="s">
        <v>395</v>
      </c>
      <c r="F541" t="s">
        <v>77</v>
      </c>
      <c r="G541" t="s">
        <v>28</v>
      </c>
      <c r="H541">
        <v>3</v>
      </c>
      <c r="I541" s="1" t="s">
        <v>2590</v>
      </c>
      <c r="J541" s="1" t="s">
        <v>2611</v>
      </c>
      <c r="K541">
        <v>1168</v>
      </c>
      <c r="L541">
        <v>620</v>
      </c>
      <c r="M541">
        <v>164</v>
      </c>
      <c r="N541">
        <v>110</v>
      </c>
      <c r="O541" s="2" t="s">
        <v>2612</v>
      </c>
      <c r="P541">
        <v>0</v>
      </c>
      <c r="Q541" t="s">
        <v>2613</v>
      </c>
      <c r="R541">
        <v>1</v>
      </c>
      <c r="S541" t="s">
        <v>2614</v>
      </c>
      <c r="T541">
        <v>1</v>
      </c>
      <c r="U541" t="s">
        <v>2096</v>
      </c>
      <c r="V541" t="s">
        <v>2567</v>
      </c>
    </row>
    <row r="542" spans="1:22" hidden="1" x14ac:dyDescent="0.2">
      <c r="A542" t="s">
        <v>93</v>
      </c>
      <c r="B542" t="s">
        <v>2119</v>
      </c>
      <c r="C542" t="s">
        <v>24</v>
      </c>
      <c r="D542" t="s">
        <v>2560</v>
      </c>
      <c r="E542" t="s">
        <v>395</v>
      </c>
      <c r="F542" t="s">
        <v>94</v>
      </c>
      <c r="G542" t="s">
        <v>28</v>
      </c>
      <c r="H542">
        <v>1</v>
      </c>
      <c r="I542" s="1" t="s">
        <v>2561</v>
      </c>
      <c r="J542" s="1" t="s">
        <v>2615</v>
      </c>
      <c r="K542">
        <v>1112</v>
      </c>
      <c r="L542">
        <v>584</v>
      </c>
      <c r="M542">
        <v>120</v>
      </c>
      <c r="N542">
        <v>81</v>
      </c>
      <c r="O542">
        <v>3.5342221260070801</v>
      </c>
      <c r="P542">
        <v>0</v>
      </c>
      <c r="Q542" t="s">
        <v>2616</v>
      </c>
      <c r="R542">
        <v>1</v>
      </c>
      <c r="S542" t="s">
        <v>2617</v>
      </c>
      <c r="T542">
        <v>1</v>
      </c>
      <c r="U542" t="s">
        <v>454</v>
      </c>
      <c r="V542" t="s">
        <v>2567</v>
      </c>
    </row>
    <row r="543" spans="1:22" hidden="1" x14ac:dyDescent="0.2">
      <c r="A543" t="s">
        <v>93</v>
      </c>
      <c r="B543" t="s">
        <v>2119</v>
      </c>
      <c r="C543" t="s">
        <v>24</v>
      </c>
      <c r="D543" t="s">
        <v>2560</v>
      </c>
      <c r="E543" t="s">
        <v>395</v>
      </c>
      <c r="F543" t="s">
        <v>94</v>
      </c>
      <c r="G543" t="s">
        <v>28</v>
      </c>
      <c r="H543">
        <v>2</v>
      </c>
      <c r="I543" s="1" t="s">
        <v>2561</v>
      </c>
      <c r="J543" s="1" t="s">
        <v>2618</v>
      </c>
      <c r="K543">
        <v>1112</v>
      </c>
      <c r="L543">
        <v>584</v>
      </c>
      <c r="M543">
        <v>109</v>
      </c>
      <c r="N543">
        <v>72</v>
      </c>
      <c r="O543" s="2" t="s">
        <v>2619</v>
      </c>
      <c r="P543">
        <v>0</v>
      </c>
      <c r="Q543" t="s">
        <v>2620</v>
      </c>
      <c r="R543">
        <v>0</v>
      </c>
      <c r="S543" t="s">
        <v>2621</v>
      </c>
      <c r="T543">
        <v>1</v>
      </c>
      <c r="U543" t="s">
        <v>616</v>
      </c>
      <c r="V543" t="s">
        <v>2567</v>
      </c>
    </row>
    <row r="544" spans="1:22" hidden="1" x14ac:dyDescent="0.2">
      <c r="A544" t="s">
        <v>93</v>
      </c>
      <c r="B544" t="s">
        <v>2119</v>
      </c>
      <c r="C544" t="s">
        <v>24</v>
      </c>
      <c r="D544" t="s">
        <v>2560</v>
      </c>
      <c r="E544" t="s">
        <v>395</v>
      </c>
      <c r="F544" t="s">
        <v>94</v>
      </c>
      <c r="G544" t="s">
        <v>28</v>
      </c>
      <c r="H544">
        <v>3</v>
      </c>
      <c r="I544" s="1" t="s">
        <v>2561</v>
      </c>
      <c r="J544" s="1" t="s">
        <v>2622</v>
      </c>
      <c r="K544">
        <v>1112</v>
      </c>
      <c r="L544">
        <v>584</v>
      </c>
      <c r="M544">
        <v>105</v>
      </c>
      <c r="N544">
        <v>71</v>
      </c>
      <c r="O544" s="2" t="s">
        <v>2623</v>
      </c>
      <c r="P544">
        <v>0</v>
      </c>
      <c r="Q544" t="s">
        <v>2624</v>
      </c>
      <c r="R544">
        <v>1</v>
      </c>
      <c r="S544" t="s">
        <v>2625</v>
      </c>
      <c r="T544">
        <v>1</v>
      </c>
      <c r="U544" t="s">
        <v>2626</v>
      </c>
      <c r="V544" t="s">
        <v>2567</v>
      </c>
    </row>
    <row r="545" spans="1:22" x14ac:dyDescent="0.2">
      <c r="A545" t="s">
        <v>93</v>
      </c>
      <c r="B545" t="s">
        <v>2119</v>
      </c>
      <c r="C545" t="s">
        <v>24</v>
      </c>
      <c r="D545" t="s">
        <v>2560</v>
      </c>
      <c r="E545" t="s">
        <v>395</v>
      </c>
      <c r="F545" t="s">
        <v>110</v>
      </c>
      <c r="G545" t="s">
        <v>28</v>
      </c>
      <c r="H545">
        <v>1</v>
      </c>
      <c r="I545" s="1" t="s">
        <v>2578</v>
      </c>
      <c r="J545" s="1" t="s">
        <v>2627</v>
      </c>
      <c r="K545">
        <v>1137</v>
      </c>
      <c r="L545">
        <v>598</v>
      </c>
      <c r="M545">
        <v>185</v>
      </c>
      <c r="N545">
        <v>129</v>
      </c>
      <c r="O545" s="2" t="s">
        <v>2628</v>
      </c>
      <c r="P545">
        <v>0</v>
      </c>
      <c r="Q545" t="s">
        <v>2629</v>
      </c>
      <c r="R545">
        <v>1</v>
      </c>
      <c r="S545" t="s">
        <v>2630</v>
      </c>
      <c r="T545">
        <v>1</v>
      </c>
      <c r="U545" t="s">
        <v>2631</v>
      </c>
      <c r="V545" t="s">
        <v>2567</v>
      </c>
    </row>
    <row r="546" spans="1:22" x14ac:dyDescent="0.2">
      <c r="A546" t="s">
        <v>93</v>
      </c>
      <c r="B546" t="s">
        <v>2119</v>
      </c>
      <c r="C546" t="s">
        <v>24</v>
      </c>
      <c r="D546" t="s">
        <v>2560</v>
      </c>
      <c r="E546" t="s">
        <v>395</v>
      </c>
      <c r="F546" t="s">
        <v>110</v>
      </c>
      <c r="G546" t="s">
        <v>28</v>
      </c>
      <c r="H546">
        <v>2</v>
      </c>
      <c r="I546" s="1" t="s">
        <v>2578</v>
      </c>
      <c r="J546" s="1" t="s">
        <v>2632</v>
      </c>
      <c r="K546">
        <v>1137</v>
      </c>
      <c r="L546">
        <v>598</v>
      </c>
      <c r="M546">
        <v>180</v>
      </c>
      <c r="N546">
        <v>125</v>
      </c>
      <c r="O546" s="2" t="s">
        <v>2633</v>
      </c>
      <c r="P546">
        <v>0</v>
      </c>
      <c r="Q546" t="s">
        <v>2634</v>
      </c>
      <c r="R546">
        <v>1</v>
      </c>
      <c r="S546" t="s">
        <v>2635</v>
      </c>
      <c r="T546">
        <v>1</v>
      </c>
      <c r="U546" t="s">
        <v>2096</v>
      </c>
      <c r="V546" t="s">
        <v>2567</v>
      </c>
    </row>
    <row r="547" spans="1:22" x14ac:dyDescent="0.2">
      <c r="A547" t="s">
        <v>93</v>
      </c>
      <c r="B547" t="s">
        <v>2119</v>
      </c>
      <c r="C547" t="s">
        <v>24</v>
      </c>
      <c r="D547" t="s">
        <v>2560</v>
      </c>
      <c r="E547" t="s">
        <v>395</v>
      </c>
      <c r="F547" t="s">
        <v>110</v>
      </c>
      <c r="G547" t="s">
        <v>28</v>
      </c>
      <c r="H547">
        <v>3</v>
      </c>
      <c r="I547" s="1" t="s">
        <v>2578</v>
      </c>
      <c r="J547" s="1" t="s">
        <v>2636</v>
      </c>
      <c r="K547">
        <v>1137</v>
      </c>
      <c r="L547">
        <v>598</v>
      </c>
      <c r="M547">
        <v>202</v>
      </c>
      <c r="N547">
        <v>146</v>
      </c>
      <c r="O547" s="2" t="s">
        <v>2637</v>
      </c>
      <c r="P547">
        <v>0</v>
      </c>
      <c r="Q547" t="s">
        <v>2638</v>
      </c>
      <c r="R547">
        <v>1</v>
      </c>
      <c r="S547" t="s">
        <v>2639</v>
      </c>
      <c r="T547">
        <v>1</v>
      </c>
      <c r="U547" t="s">
        <v>109</v>
      </c>
      <c r="V547" t="s">
        <v>2567</v>
      </c>
    </row>
    <row r="548" spans="1:22" hidden="1" x14ac:dyDescent="0.2">
      <c r="A548" t="s">
        <v>93</v>
      </c>
      <c r="B548" t="s">
        <v>2119</v>
      </c>
      <c r="C548" t="s">
        <v>24</v>
      </c>
      <c r="D548" t="s">
        <v>2560</v>
      </c>
      <c r="E548" t="s">
        <v>395</v>
      </c>
      <c r="F548" t="s">
        <v>125</v>
      </c>
      <c r="G548" t="s">
        <v>28</v>
      </c>
      <c r="H548">
        <v>1</v>
      </c>
      <c r="I548" s="1" t="s">
        <v>2590</v>
      </c>
      <c r="J548" s="1" t="s">
        <v>2640</v>
      </c>
      <c r="K548">
        <v>1168</v>
      </c>
      <c r="L548">
        <v>620</v>
      </c>
      <c r="M548">
        <v>161</v>
      </c>
      <c r="N548">
        <v>99</v>
      </c>
      <c r="O548" s="2" t="s">
        <v>2641</v>
      </c>
      <c r="P548">
        <v>0</v>
      </c>
      <c r="Q548" t="s">
        <v>2642</v>
      </c>
      <c r="R548">
        <v>1</v>
      </c>
      <c r="S548" t="s">
        <v>2643</v>
      </c>
      <c r="T548">
        <v>1</v>
      </c>
      <c r="U548" t="s">
        <v>325</v>
      </c>
      <c r="V548" t="s">
        <v>2567</v>
      </c>
    </row>
    <row r="549" spans="1:22" hidden="1" x14ac:dyDescent="0.2">
      <c r="A549" t="s">
        <v>93</v>
      </c>
      <c r="B549" t="s">
        <v>2119</v>
      </c>
      <c r="C549" t="s">
        <v>24</v>
      </c>
      <c r="D549" t="s">
        <v>2560</v>
      </c>
      <c r="E549" t="s">
        <v>395</v>
      </c>
      <c r="F549" t="s">
        <v>125</v>
      </c>
      <c r="G549" t="s">
        <v>28</v>
      </c>
      <c r="H549">
        <v>2</v>
      </c>
      <c r="I549" s="1" t="s">
        <v>2590</v>
      </c>
      <c r="J549" s="1" t="s">
        <v>2644</v>
      </c>
      <c r="K549">
        <v>1168</v>
      </c>
      <c r="L549">
        <v>620</v>
      </c>
      <c r="M549">
        <v>206</v>
      </c>
      <c r="N549">
        <v>144</v>
      </c>
      <c r="O549" s="2" t="s">
        <v>2645</v>
      </c>
      <c r="P549">
        <v>0</v>
      </c>
      <c r="Q549" t="s">
        <v>2646</v>
      </c>
      <c r="R549">
        <v>1</v>
      </c>
      <c r="S549" t="s">
        <v>2647</v>
      </c>
      <c r="T549">
        <v>1</v>
      </c>
      <c r="U549" t="s">
        <v>2648</v>
      </c>
      <c r="V549" t="s">
        <v>2567</v>
      </c>
    </row>
    <row r="550" spans="1:22" hidden="1" x14ac:dyDescent="0.2">
      <c r="A550" t="s">
        <v>93</v>
      </c>
      <c r="B550" t="s">
        <v>2119</v>
      </c>
      <c r="C550" t="s">
        <v>24</v>
      </c>
      <c r="D550" t="s">
        <v>2560</v>
      </c>
      <c r="E550" t="s">
        <v>395</v>
      </c>
      <c r="F550" t="s">
        <v>125</v>
      </c>
      <c r="G550" t="s">
        <v>28</v>
      </c>
      <c r="H550">
        <v>3</v>
      </c>
      <c r="I550" s="1" t="s">
        <v>2590</v>
      </c>
      <c r="J550" s="1" t="s">
        <v>2649</v>
      </c>
      <c r="K550">
        <v>1168</v>
      </c>
      <c r="L550">
        <v>620</v>
      </c>
      <c r="M550">
        <v>153</v>
      </c>
      <c r="N550">
        <v>98</v>
      </c>
      <c r="O550" s="2" t="s">
        <v>2650</v>
      </c>
      <c r="P550">
        <v>0</v>
      </c>
      <c r="Q550" t="s">
        <v>2651</v>
      </c>
      <c r="R550">
        <v>1</v>
      </c>
      <c r="S550" t="s">
        <v>2652</v>
      </c>
      <c r="T550">
        <v>1</v>
      </c>
      <c r="U550" t="s">
        <v>2653</v>
      </c>
      <c r="V550" t="s">
        <v>2567</v>
      </c>
    </row>
    <row r="551" spans="1:22" hidden="1" x14ac:dyDescent="0.2">
      <c r="A551" t="s">
        <v>140</v>
      </c>
      <c r="B551" t="s">
        <v>2119</v>
      </c>
      <c r="C551" t="s">
        <v>24</v>
      </c>
      <c r="D551" t="s">
        <v>2560</v>
      </c>
      <c r="E551" t="s">
        <v>395</v>
      </c>
      <c r="F551" t="s">
        <v>141</v>
      </c>
      <c r="G551" t="s">
        <v>28</v>
      </c>
      <c r="H551">
        <v>1</v>
      </c>
      <c r="I551" s="1" t="s">
        <v>2654</v>
      </c>
      <c r="J551" s="1" t="s">
        <v>2655</v>
      </c>
      <c r="K551">
        <v>1076</v>
      </c>
      <c r="L551">
        <v>569</v>
      </c>
      <c r="M551">
        <v>616</v>
      </c>
      <c r="N551">
        <v>24</v>
      </c>
      <c r="O551" s="2" t="s">
        <v>2656</v>
      </c>
      <c r="P551">
        <v>0</v>
      </c>
      <c r="Q551" t="s">
        <v>2657</v>
      </c>
      <c r="R551">
        <v>1</v>
      </c>
      <c r="S551" t="s">
        <v>2658</v>
      </c>
      <c r="T551">
        <v>1</v>
      </c>
      <c r="U551" t="s">
        <v>1279</v>
      </c>
      <c r="V551" t="s">
        <v>2567</v>
      </c>
    </row>
    <row r="552" spans="1:22" hidden="1" x14ac:dyDescent="0.2">
      <c r="A552" t="s">
        <v>140</v>
      </c>
      <c r="B552" t="s">
        <v>2119</v>
      </c>
      <c r="C552" t="s">
        <v>24</v>
      </c>
      <c r="D552" t="s">
        <v>2560</v>
      </c>
      <c r="E552" t="s">
        <v>395</v>
      </c>
      <c r="F552" t="s">
        <v>141</v>
      </c>
      <c r="G552" t="s">
        <v>28</v>
      </c>
      <c r="H552">
        <v>2</v>
      </c>
      <c r="I552" s="1" t="s">
        <v>2654</v>
      </c>
      <c r="J552" t="s">
        <v>2659</v>
      </c>
      <c r="K552">
        <v>1076</v>
      </c>
      <c r="L552">
        <v>569</v>
      </c>
      <c r="M552">
        <v>681</v>
      </c>
      <c r="N552">
        <v>24</v>
      </c>
      <c r="O552" s="2" t="s">
        <v>2660</v>
      </c>
      <c r="P552">
        <v>1</v>
      </c>
      <c r="Q552" t="s">
        <v>2661</v>
      </c>
      <c r="R552">
        <v>1</v>
      </c>
      <c r="S552" t="s">
        <v>2662</v>
      </c>
      <c r="T552">
        <v>1</v>
      </c>
      <c r="U552" t="s">
        <v>1163</v>
      </c>
      <c r="V552" t="s">
        <v>2567</v>
      </c>
    </row>
    <row r="553" spans="1:22" hidden="1" x14ac:dyDescent="0.2">
      <c r="A553" t="s">
        <v>140</v>
      </c>
      <c r="B553" t="s">
        <v>2119</v>
      </c>
      <c r="C553" t="s">
        <v>24</v>
      </c>
      <c r="D553" t="s">
        <v>2560</v>
      </c>
      <c r="E553" t="s">
        <v>395</v>
      </c>
      <c r="F553" t="s">
        <v>141</v>
      </c>
      <c r="G553" t="s">
        <v>28</v>
      </c>
      <c r="H553">
        <v>3</v>
      </c>
      <c r="I553" s="1" t="s">
        <v>2654</v>
      </c>
      <c r="J553" t="s">
        <v>2663</v>
      </c>
      <c r="K553">
        <v>1076</v>
      </c>
      <c r="L553">
        <v>569</v>
      </c>
      <c r="M553">
        <v>682</v>
      </c>
      <c r="N553">
        <v>25</v>
      </c>
      <c r="O553">
        <v>6.7556629180908203</v>
      </c>
      <c r="P553">
        <v>1</v>
      </c>
      <c r="Q553" t="s">
        <v>2664</v>
      </c>
      <c r="R553">
        <v>1</v>
      </c>
      <c r="S553" t="s">
        <v>2665</v>
      </c>
      <c r="T553">
        <v>1</v>
      </c>
      <c r="U553" t="s">
        <v>665</v>
      </c>
      <c r="V553" t="s">
        <v>2567</v>
      </c>
    </row>
    <row r="554" spans="1:22" hidden="1" x14ac:dyDescent="0.2">
      <c r="A554" t="s">
        <v>22</v>
      </c>
      <c r="B554" t="s">
        <v>2119</v>
      </c>
      <c r="C554" t="s">
        <v>24</v>
      </c>
      <c r="D554" t="s">
        <v>2666</v>
      </c>
      <c r="E554" t="s">
        <v>395</v>
      </c>
      <c r="F554" t="s">
        <v>27</v>
      </c>
      <c r="G554" t="s">
        <v>28</v>
      </c>
      <c r="H554">
        <v>1</v>
      </c>
      <c r="I554" s="1" t="s">
        <v>2667</v>
      </c>
      <c r="J554" s="1" t="s">
        <v>2668</v>
      </c>
      <c r="K554">
        <v>1203</v>
      </c>
      <c r="L554">
        <v>522</v>
      </c>
      <c r="M554">
        <v>131</v>
      </c>
      <c r="N554">
        <v>74</v>
      </c>
      <c r="O554" s="2" t="s">
        <v>2669</v>
      </c>
      <c r="P554">
        <v>1</v>
      </c>
      <c r="Q554" t="s">
        <v>2670</v>
      </c>
      <c r="R554">
        <v>1</v>
      </c>
      <c r="S554" t="s">
        <v>2671</v>
      </c>
      <c r="T554">
        <v>1</v>
      </c>
      <c r="U554" t="s">
        <v>2672</v>
      </c>
      <c r="V554" t="s">
        <v>2673</v>
      </c>
    </row>
    <row r="555" spans="1:22" hidden="1" x14ac:dyDescent="0.2">
      <c r="A555" t="s">
        <v>22</v>
      </c>
      <c r="B555" t="s">
        <v>2119</v>
      </c>
      <c r="C555" t="s">
        <v>24</v>
      </c>
      <c r="D555" t="s">
        <v>2666</v>
      </c>
      <c r="E555" t="s">
        <v>395</v>
      </c>
      <c r="F555" t="s">
        <v>27</v>
      </c>
      <c r="G555" t="s">
        <v>28</v>
      </c>
      <c r="H555">
        <v>2</v>
      </c>
      <c r="I555" s="1" t="s">
        <v>2667</v>
      </c>
      <c r="J555" s="1" t="s">
        <v>2674</v>
      </c>
      <c r="K555">
        <v>1203</v>
      </c>
      <c r="L555">
        <v>522</v>
      </c>
      <c r="M555">
        <v>131</v>
      </c>
      <c r="N555">
        <v>70</v>
      </c>
      <c r="O555" s="2" t="s">
        <v>2675</v>
      </c>
      <c r="P555">
        <v>1</v>
      </c>
      <c r="Q555" t="s">
        <v>2676</v>
      </c>
      <c r="R555">
        <v>1</v>
      </c>
      <c r="S555" t="s">
        <v>2677</v>
      </c>
      <c r="T555">
        <v>1</v>
      </c>
      <c r="U555" t="s">
        <v>2678</v>
      </c>
      <c r="V555" t="s">
        <v>2673</v>
      </c>
    </row>
    <row r="556" spans="1:22" hidden="1" x14ac:dyDescent="0.2">
      <c r="A556" t="s">
        <v>22</v>
      </c>
      <c r="B556" t="s">
        <v>2119</v>
      </c>
      <c r="C556" t="s">
        <v>24</v>
      </c>
      <c r="D556" t="s">
        <v>2666</v>
      </c>
      <c r="E556" t="s">
        <v>395</v>
      </c>
      <c r="F556" t="s">
        <v>27</v>
      </c>
      <c r="G556" t="s">
        <v>28</v>
      </c>
      <c r="H556">
        <v>3</v>
      </c>
      <c r="I556" s="1" t="s">
        <v>2667</v>
      </c>
      <c r="J556" s="1" t="s">
        <v>2679</v>
      </c>
      <c r="K556">
        <v>1203</v>
      </c>
      <c r="L556">
        <v>522</v>
      </c>
      <c r="M556">
        <v>132</v>
      </c>
      <c r="N556">
        <v>80</v>
      </c>
      <c r="O556" s="2" t="s">
        <v>2680</v>
      </c>
      <c r="P556">
        <v>1</v>
      </c>
      <c r="Q556" t="s">
        <v>2681</v>
      </c>
      <c r="R556">
        <v>1</v>
      </c>
      <c r="S556" t="s">
        <v>2682</v>
      </c>
      <c r="T556">
        <v>1</v>
      </c>
      <c r="U556" t="s">
        <v>109</v>
      </c>
      <c r="V556" t="s">
        <v>2673</v>
      </c>
    </row>
    <row r="557" spans="1:22" hidden="1" x14ac:dyDescent="0.2">
      <c r="A557" t="s">
        <v>22</v>
      </c>
      <c r="B557" t="s">
        <v>2119</v>
      </c>
      <c r="C557" t="s">
        <v>24</v>
      </c>
      <c r="D557" t="s">
        <v>2666</v>
      </c>
      <c r="E557" t="s">
        <v>395</v>
      </c>
      <c r="F557" t="s">
        <v>46</v>
      </c>
      <c r="G557" t="s">
        <v>28</v>
      </c>
      <c r="H557">
        <v>1</v>
      </c>
      <c r="I557" s="1" t="s">
        <v>2683</v>
      </c>
      <c r="J557" s="1" t="s">
        <v>2684</v>
      </c>
      <c r="K557">
        <v>1231</v>
      </c>
      <c r="L557">
        <v>536</v>
      </c>
      <c r="M557">
        <v>202</v>
      </c>
      <c r="N557">
        <v>114</v>
      </c>
      <c r="O557" s="2" t="s">
        <v>2685</v>
      </c>
      <c r="P557">
        <v>1</v>
      </c>
      <c r="Q557" t="s">
        <v>2686</v>
      </c>
      <c r="R557">
        <v>1</v>
      </c>
      <c r="S557" t="s">
        <v>2687</v>
      </c>
      <c r="T557">
        <v>1</v>
      </c>
      <c r="U557" t="s">
        <v>2688</v>
      </c>
      <c r="V557" t="s">
        <v>2673</v>
      </c>
    </row>
    <row r="558" spans="1:22" hidden="1" x14ac:dyDescent="0.2">
      <c r="A558" t="s">
        <v>22</v>
      </c>
      <c r="B558" t="s">
        <v>2119</v>
      </c>
      <c r="C558" t="s">
        <v>24</v>
      </c>
      <c r="D558" t="s">
        <v>2666</v>
      </c>
      <c r="E558" t="s">
        <v>395</v>
      </c>
      <c r="F558" t="s">
        <v>46</v>
      </c>
      <c r="G558" t="s">
        <v>28</v>
      </c>
      <c r="H558">
        <v>2</v>
      </c>
      <c r="I558" s="1" t="s">
        <v>2683</v>
      </c>
      <c r="J558" s="1" t="s">
        <v>2689</v>
      </c>
      <c r="K558">
        <v>1231</v>
      </c>
      <c r="L558">
        <v>536</v>
      </c>
      <c r="M558">
        <v>210</v>
      </c>
      <c r="N558">
        <v>125</v>
      </c>
      <c r="O558">
        <v>4.7836039066314697</v>
      </c>
      <c r="P558">
        <v>1</v>
      </c>
      <c r="Q558" t="s">
        <v>2690</v>
      </c>
      <c r="R558">
        <v>1</v>
      </c>
      <c r="S558" t="s">
        <v>2691</v>
      </c>
      <c r="T558">
        <v>1</v>
      </c>
      <c r="U558" t="s">
        <v>854</v>
      </c>
      <c r="V558" t="s">
        <v>2673</v>
      </c>
    </row>
    <row r="559" spans="1:22" hidden="1" x14ac:dyDescent="0.2">
      <c r="A559" t="s">
        <v>22</v>
      </c>
      <c r="B559" t="s">
        <v>2119</v>
      </c>
      <c r="C559" t="s">
        <v>24</v>
      </c>
      <c r="D559" t="s">
        <v>2666</v>
      </c>
      <c r="E559" t="s">
        <v>395</v>
      </c>
      <c r="F559" t="s">
        <v>46</v>
      </c>
      <c r="G559" t="s">
        <v>28</v>
      </c>
      <c r="H559">
        <v>3</v>
      </c>
      <c r="I559" s="1" t="s">
        <v>2683</v>
      </c>
      <c r="J559" s="1" t="s">
        <v>2692</v>
      </c>
      <c r="K559">
        <v>1231</v>
      </c>
      <c r="L559">
        <v>536</v>
      </c>
      <c r="M559">
        <v>211</v>
      </c>
      <c r="N559">
        <v>130</v>
      </c>
      <c r="O559" s="2" t="s">
        <v>2693</v>
      </c>
      <c r="P559">
        <v>1</v>
      </c>
      <c r="Q559" t="s">
        <v>2694</v>
      </c>
      <c r="R559">
        <v>1</v>
      </c>
      <c r="S559" t="s">
        <v>2695</v>
      </c>
      <c r="T559">
        <v>1</v>
      </c>
      <c r="U559" t="s">
        <v>2696</v>
      </c>
      <c r="V559" t="s">
        <v>2673</v>
      </c>
    </row>
    <row r="560" spans="1:22" hidden="1" x14ac:dyDescent="0.2">
      <c r="A560" t="s">
        <v>22</v>
      </c>
      <c r="B560" t="s">
        <v>2119</v>
      </c>
      <c r="C560" t="s">
        <v>24</v>
      </c>
      <c r="D560" t="s">
        <v>2666</v>
      </c>
      <c r="E560" t="s">
        <v>395</v>
      </c>
      <c r="F560" t="s">
        <v>61</v>
      </c>
      <c r="G560" t="s">
        <v>28</v>
      </c>
      <c r="H560">
        <v>1</v>
      </c>
      <c r="I560" s="1" t="s">
        <v>2697</v>
      </c>
      <c r="J560" s="1" t="s">
        <v>2698</v>
      </c>
      <c r="K560">
        <v>1266</v>
      </c>
      <c r="L560">
        <v>558</v>
      </c>
      <c r="M560">
        <v>200</v>
      </c>
      <c r="N560">
        <v>107</v>
      </c>
      <c r="O560" s="2" t="s">
        <v>2699</v>
      </c>
      <c r="P560">
        <v>1</v>
      </c>
      <c r="Q560" t="s">
        <v>2700</v>
      </c>
      <c r="R560">
        <v>1</v>
      </c>
      <c r="S560" t="s">
        <v>2701</v>
      </c>
      <c r="T560">
        <v>1</v>
      </c>
      <c r="U560" t="s">
        <v>1242</v>
      </c>
      <c r="V560" t="s">
        <v>2673</v>
      </c>
    </row>
    <row r="561" spans="1:22" hidden="1" x14ac:dyDescent="0.2">
      <c r="A561" t="s">
        <v>22</v>
      </c>
      <c r="B561" t="s">
        <v>2119</v>
      </c>
      <c r="C561" t="s">
        <v>24</v>
      </c>
      <c r="D561" t="s">
        <v>2666</v>
      </c>
      <c r="E561" t="s">
        <v>395</v>
      </c>
      <c r="F561" t="s">
        <v>61</v>
      </c>
      <c r="G561" t="s">
        <v>28</v>
      </c>
      <c r="H561">
        <v>2</v>
      </c>
      <c r="I561" s="1" t="s">
        <v>2697</v>
      </c>
      <c r="J561" s="1" t="s">
        <v>2702</v>
      </c>
      <c r="K561">
        <v>1266</v>
      </c>
      <c r="L561">
        <v>558</v>
      </c>
      <c r="M561">
        <v>192</v>
      </c>
      <c r="N561">
        <v>103</v>
      </c>
      <c r="O561" s="2" t="s">
        <v>2703</v>
      </c>
      <c r="P561">
        <v>1</v>
      </c>
      <c r="Q561" t="s">
        <v>2704</v>
      </c>
      <c r="R561">
        <v>1</v>
      </c>
      <c r="S561" t="s">
        <v>2705</v>
      </c>
      <c r="T561">
        <v>1</v>
      </c>
      <c r="U561" t="s">
        <v>2706</v>
      </c>
      <c r="V561" t="s">
        <v>2673</v>
      </c>
    </row>
    <row r="562" spans="1:22" hidden="1" x14ac:dyDescent="0.2">
      <c r="A562" t="s">
        <v>22</v>
      </c>
      <c r="B562" t="s">
        <v>2119</v>
      </c>
      <c r="C562" t="s">
        <v>24</v>
      </c>
      <c r="D562" t="s">
        <v>2666</v>
      </c>
      <c r="E562" t="s">
        <v>395</v>
      </c>
      <c r="F562" t="s">
        <v>61</v>
      </c>
      <c r="G562" t="s">
        <v>28</v>
      </c>
      <c r="H562">
        <v>3</v>
      </c>
      <c r="I562" s="1" t="s">
        <v>2697</v>
      </c>
      <c r="J562" s="1" t="s">
        <v>2707</v>
      </c>
      <c r="K562">
        <v>1266</v>
      </c>
      <c r="L562">
        <v>558</v>
      </c>
      <c r="M562">
        <v>199</v>
      </c>
      <c r="N562">
        <v>103</v>
      </c>
      <c r="O562" s="2" t="s">
        <v>2708</v>
      </c>
      <c r="P562">
        <v>1</v>
      </c>
      <c r="Q562" t="s">
        <v>2709</v>
      </c>
      <c r="R562">
        <v>1</v>
      </c>
      <c r="S562" t="s">
        <v>2710</v>
      </c>
      <c r="T562">
        <v>1</v>
      </c>
      <c r="U562" t="s">
        <v>2711</v>
      </c>
      <c r="V562" t="s">
        <v>2673</v>
      </c>
    </row>
    <row r="563" spans="1:22" hidden="1" x14ac:dyDescent="0.2">
      <c r="A563" t="s">
        <v>76</v>
      </c>
      <c r="B563" t="s">
        <v>2119</v>
      </c>
      <c r="C563" t="s">
        <v>24</v>
      </c>
      <c r="D563" t="s">
        <v>2666</v>
      </c>
      <c r="E563" t="s">
        <v>395</v>
      </c>
      <c r="F563" t="s">
        <v>77</v>
      </c>
      <c r="G563" t="s">
        <v>28</v>
      </c>
      <c r="H563">
        <v>1</v>
      </c>
      <c r="I563" s="1" t="s">
        <v>2697</v>
      </c>
      <c r="J563" s="1" t="s">
        <v>2712</v>
      </c>
      <c r="K563">
        <v>1065</v>
      </c>
      <c r="L563">
        <v>558</v>
      </c>
      <c r="M563">
        <v>163</v>
      </c>
      <c r="N563">
        <v>97</v>
      </c>
      <c r="O563" s="2" t="s">
        <v>2713</v>
      </c>
      <c r="P563">
        <v>1</v>
      </c>
      <c r="Q563" t="s">
        <v>2714</v>
      </c>
      <c r="R563">
        <v>1</v>
      </c>
      <c r="S563" t="s">
        <v>2715</v>
      </c>
      <c r="T563">
        <v>1</v>
      </c>
      <c r="U563" t="s">
        <v>2716</v>
      </c>
      <c r="V563" t="s">
        <v>2673</v>
      </c>
    </row>
    <row r="564" spans="1:22" hidden="1" x14ac:dyDescent="0.2">
      <c r="A564" t="s">
        <v>76</v>
      </c>
      <c r="B564" t="s">
        <v>2119</v>
      </c>
      <c r="C564" t="s">
        <v>24</v>
      </c>
      <c r="D564" t="s">
        <v>2666</v>
      </c>
      <c r="E564" t="s">
        <v>395</v>
      </c>
      <c r="F564" t="s">
        <v>77</v>
      </c>
      <c r="G564" t="s">
        <v>28</v>
      </c>
      <c r="H564">
        <v>2</v>
      </c>
      <c r="I564" s="1" t="s">
        <v>2697</v>
      </c>
      <c r="J564" s="1" t="s">
        <v>2717</v>
      </c>
      <c r="K564">
        <v>1065</v>
      </c>
      <c r="L564">
        <v>558</v>
      </c>
      <c r="M564">
        <v>178</v>
      </c>
      <c r="N564">
        <v>108</v>
      </c>
      <c r="O564" s="2" t="s">
        <v>2718</v>
      </c>
      <c r="P564">
        <v>1</v>
      </c>
      <c r="Q564" t="s">
        <v>2719</v>
      </c>
      <c r="R564">
        <v>1</v>
      </c>
      <c r="S564" t="s">
        <v>2720</v>
      </c>
      <c r="T564">
        <v>1</v>
      </c>
      <c r="U564" t="s">
        <v>2721</v>
      </c>
      <c r="V564" t="s">
        <v>2673</v>
      </c>
    </row>
    <row r="565" spans="1:22" hidden="1" x14ac:dyDescent="0.2">
      <c r="A565" t="s">
        <v>76</v>
      </c>
      <c r="B565" t="s">
        <v>2119</v>
      </c>
      <c r="C565" t="s">
        <v>24</v>
      </c>
      <c r="D565" t="s">
        <v>2666</v>
      </c>
      <c r="E565" t="s">
        <v>395</v>
      </c>
      <c r="F565" t="s">
        <v>77</v>
      </c>
      <c r="G565" t="s">
        <v>28</v>
      </c>
      <c r="H565">
        <v>3</v>
      </c>
      <c r="I565" s="1" t="s">
        <v>2697</v>
      </c>
      <c r="J565" s="1" t="s">
        <v>2722</v>
      </c>
      <c r="K565">
        <v>1065</v>
      </c>
      <c r="L565">
        <v>558</v>
      </c>
      <c r="M565">
        <v>164</v>
      </c>
      <c r="N565">
        <v>96</v>
      </c>
      <c r="O565" s="2" t="s">
        <v>2723</v>
      </c>
      <c r="P565">
        <v>1</v>
      </c>
      <c r="Q565" t="s">
        <v>2724</v>
      </c>
      <c r="R565">
        <v>1</v>
      </c>
      <c r="S565" t="s">
        <v>2725</v>
      </c>
      <c r="T565">
        <v>1</v>
      </c>
      <c r="U565" t="s">
        <v>1279</v>
      </c>
      <c r="V565" t="s">
        <v>2673</v>
      </c>
    </row>
    <row r="566" spans="1:22" hidden="1" x14ac:dyDescent="0.2">
      <c r="A566" t="s">
        <v>93</v>
      </c>
      <c r="B566" t="s">
        <v>2119</v>
      </c>
      <c r="C566" t="s">
        <v>24</v>
      </c>
      <c r="D566" t="s">
        <v>2666</v>
      </c>
      <c r="E566" t="s">
        <v>395</v>
      </c>
      <c r="F566" t="s">
        <v>94</v>
      </c>
      <c r="G566" t="s">
        <v>28</v>
      </c>
      <c r="H566">
        <v>1</v>
      </c>
      <c r="I566" s="1" t="s">
        <v>2667</v>
      </c>
      <c r="J566" s="1" t="s">
        <v>2726</v>
      </c>
      <c r="K566">
        <v>1009</v>
      </c>
      <c r="L566">
        <v>522</v>
      </c>
      <c r="M566">
        <v>97</v>
      </c>
      <c r="N566">
        <v>58</v>
      </c>
      <c r="O566" s="2" t="s">
        <v>2727</v>
      </c>
      <c r="P566">
        <v>1</v>
      </c>
      <c r="Q566" t="s">
        <v>2728</v>
      </c>
      <c r="R566">
        <v>1</v>
      </c>
      <c r="S566" t="s">
        <v>2729</v>
      </c>
      <c r="T566">
        <v>1</v>
      </c>
      <c r="U566" t="s">
        <v>2730</v>
      </c>
      <c r="V566" t="s">
        <v>2673</v>
      </c>
    </row>
    <row r="567" spans="1:22" hidden="1" x14ac:dyDescent="0.2">
      <c r="A567" t="s">
        <v>93</v>
      </c>
      <c r="B567" t="s">
        <v>2119</v>
      </c>
      <c r="C567" t="s">
        <v>24</v>
      </c>
      <c r="D567" t="s">
        <v>2666</v>
      </c>
      <c r="E567" t="s">
        <v>395</v>
      </c>
      <c r="F567" t="s">
        <v>94</v>
      </c>
      <c r="G567" t="s">
        <v>28</v>
      </c>
      <c r="H567">
        <v>2</v>
      </c>
      <c r="I567" s="1" t="s">
        <v>2667</v>
      </c>
      <c r="J567" s="1" t="s">
        <v>2731</v>
      </c>
      <c r="K567">
        <v>1009</v>
      </c>
      <c r="L567">
        <v>522</v>
      </c>
      <c r="M567">
        <v>98</v>
      </c>
      <c r="N567">
        <v>58</v>
      </c>
      <c r="O567" s="2" t="s">
        <v>2732</v>
      </c>
      <c r="P567">
        <v>1</v>
      </c>
      <c r="Q567" t="s">
        <v>2733</v>
      </c>
      <c r="R567">
        <v>1</v>
      </c>
      <c r="S567" t="s">
        <v>2734</v>
      </c>
      <c r="T567">
        <v>1</v>
      </c>
      <c r="U567" t="s">
        <v>2735</v>
      </c>
      <c r="V567" t="s">
        <v>2673</v>
      </c>
    </row>
    <row r="568" spans="1:22" hidden="1" x14ac:dyDescent="0.2">
      <c r="A568" t="s">
        <v>93</v>
      </c>
      <c r="B568" t="s">
        <v>2119</v>
      </c>
      <c r="C568" t="s">
        <v>24</v>
      </c>
      <c r="D568" t="s">
        <v>2666</v>
      </c>
      <c r="E568" t="s">
        <v>395</v>
      </c>
      <c r="F568" t="s">
        <v>94</v>
      </c>
      <c r="G568" t="s">
        <v>28</v>
      </c>
      <c r="H568">
        <v>3</v>
      </c>
      <c r="I568" s="1" t="s">
        <v>2667</v>
      </c>
      <c r="J568" s="1" t="s">
        <v>2736</v>
      </c>
      <c r="K568">
        <v>1009</v>
      </c>
      <c r="L568">
        <v>522</v>
      </c>
      <c r="M568">
        <v>108</v>
      </c>
      <c r="N568">
        <v>74</v>
      </c>
      <c r="O568" s="2" t="s">
        <v>2737</v>
      </c>
      <c r="P568">
        <v>1</v>
      </c>
      <c r="Q568" t="s">
        <v>2738</v>
      </c>
      <c r="R568">
        <v>1</v>
      </c>
      <c r="S568" t="s">
        <v>2739</v>
      </c>
      <c r="T568">
        <v>1</v>
      </c>
      <c r="U568" t="s">
        <v>2740</v>
      </c>
      <c r="V568" t="s">
        <v>2673</v>
      </c>
    </row>
    <row r="569" spans="1:22" hidden="1" x14ac:dyDescent="0.2">
      <c r="A569" t="s">
        <v>93</v>
      </c>
      <c r="B569" t="s">
        <v>2119</v>
      </c>
      <c r="C569" t="s">
        <v>24</v>
      </c>
      <c r="D569" t="s">
        <v>2666</v>
      </c>
      <c r="E569" t="s">
        <v>395</v>
      </c>
      <c r="F569" t="s">
        <v>110</v>
      </c>
      <c r="G569" t="s">
        <v>28</v>
      </c>
      <c r="H569">
        <v>1</v>
      </c>
      <c r="I569" s="1" t="s">
        <v>2683</v>
      </c>
      <c r="J569" s="1" t="s">
        <v>2741</v>
      </c>
      <c r="K569">
        <v>1034</v>
      </c>
      <c r="L569">
        <v>536</v>
      </c>
      <c r="M569">
        <v>153</v>
      </c>
      <c r="N569">
        <v>96</v>
      </c>
      <c r="O569" s="2" t="s">
        <v>2742</v>
      </c>
      <c r="P569">
        <v>1</v>
      </c>
      <c r="Q569" t="s">
        <v>2743</v>
      </c>
      <c r="R569">
        <v>1</v>
      </c>
      <c r="S569" t="s">
        <v>2744</v>
      </c>
      <c r="T569">
        <v>1</v>
      </c>
      <c r="U569" t="s">
        <v>82</v>
      </c>
      <c r="V569" t="s">
        <v>2673</v>
      </c>
    </row>
    <row r="570" spans="1:22" hidden="1" x14ac:dyDescent="0.2">
      <c r="A570" t="s">
        <v>93</v>
      </c>
      <c r="B570" t="s">
        <v>2119</v>
      </c>
      <c r="C570" t="s">
        <v>24</v>
      </c>
      <c r="D570" t="s">
        <v>2666</v>
      </c>
      <c r="E570" t="s">
        <v>395</v>
      </c>
      <c r="F570" t="s">
        <v>110</v>
      </c>
      <c r="G570" t="s">
        <v>28</v>
      </c>
      <c r="H570">
        <v>2</v>
      </c>
      <c r="I570" s="1" t="s">
        <v>2683</v>
      </c>
      <c r="J570" s="1" t="s">
        <v>2745</v>
      </c>
      <c r="K570">
        <v>1034</v>
      </c>
      <c r="L570">
        <v>536</v>
      </c>
      <c r="M570">
        <v>171</v>
      </c>
      <c r="N570">
        <v>122</v>
      </c>
      <c r="O570">
        <v>4.19600510597229</v>
      </c>
      <c r="P570">
        <v>1</v>
      </c>
      <c r="Q570" t="s">
        <v>2746</v>
      </c>
      <c r="R570">
        <v>1</v>
      </c>
      <c r="S570" t="s">
        <v>2747</v>
      </c>
      <c r="T570">
        <v>1</v>
      </c>
      <c r="U570" t="s">
        <v>616</v>
      </c>
      <c r="V570" t="s">
        <v>2673</v>
      </c>
    </row>
    <row r="571" spans="1:22" hidden="1" x14ac:dyDescent="0.2">
      <c r="A571" t="s">
        <v>93</v>
      </c>
      <c r="B571" t="s">
        <v>2119</v>
      </c>
      <c r="C571" t="s">
        <v>24</v>
      </c>
      <c r="D571" t="s">
        <v>2666</v>
      </c>
      <c r="E571" t="s">
        <v>395</v>
      </c>
      <c r="F571" t="s">
        <v>110</v>
      </c>
      <c r="G571" t="s">
        <v>28</v>
      </c>
      <c r="H571">
        <v>3</v>
      </c>
      <c r="I571" s="1" t="s">
        <v>2683</v>
      </c>
      <c r="J571" s="1" t="s">
        <v>2748</v>
      </c>
      <c r="K571">
        <v>1034</v>
      </c>
      <c r="L571">
        <v>536</v>
      </c>
      <c r="M571">
        <v>165</v>
      </c>
      <c r="N571">
        <v>106</v>
      </c>
      <c r="O571" s="2" t="s">
        <v>2749</v>
      </c>
      <c r="P571">
        <v>1</v>
      </c>
      <c r="Q571" t="s">
        <v>2750</v>
      </c>
      <c r="R571">
        <v>1</v>
      </c>
      <c r="S571" t="s">
        <v>2751</v>
      </c>
      <c r="T571">
        <v>1</v>
      </c>
      <c r="U571" t="s">
        <v>2752</v>
      </c>
      <c r="V571" t="s">
        <v>2673</v>
      </c>
    </row>
    <row r="572" spans="1:22" hidden="1" x14ac:dyDescent="0.2">
      <c r="A572" t="s">
        <v>93</v>
      </c>
      <c r="B572" t="s">
        <v>2119</v>
      </c>
      <c r="C572" t="s">
        <v>24</v>
      </c>
      <c r="D572" t="s">
        <v>2666</v>
      </c>
      <c r="E572" t="s">
        <v>395</v>
      </c>
      <c r="F572" t="s">
        <v>125</v>
      </c>
      <c r="G572" t="s">
        <v>28</v>
      </c>
      <c r="H572">
        <v>1</v>
      </c>
      <c r="I572" s="1" t="s">
        <v>2697</v>
      </c>
      <c r="J572" s="1" t="s">
        <v>2753</v>
      </c>
      <c r="K572">
        <v>1065</v>
      </c>
      <c r="L572">
        <v>558</v>
      </c>
      <c r="M572">
        <v>209</v>
      </c>
      <c r="N572">
        <v>137</v>
      </c>
      <c r="O572">
        <v>8.5029456615447998</v>
      </c>
      <c r="P572">
        <v>1</v>
      </c>
      <c r="Q572" t="s">
        <v>2754</v>
      </c>
      <c r="R572">
        <v>1</v>
      </c>
      <c r="S572" t="s">
        <v>2755</v>
      </c>
      <c r="T572">
        <v>1</v>
      </c>
      <c r="U572" t="s">
        <v>2756</v>
      </c>
      <c r="V572" t="s">
        <v>2673</v>
      </c>
    </row>
    <row r="573" spans="1:22" hidden="1" x14ac:dyDescent="0.2">
      <c r="A573" t="s">
        <v>93</v>
      </c>
      <c r="B573" t="s">
        <v>2119</v>
      </c>
      <c r="C573" t="s">
        <v>24</v>
      </c>
      <c r="D573" t="s">
        <v>2666</v>
      </c>
      <c r="E573" t="s">
        <v>395</v>
      </c>
      <c r="F573" t="s">
        <v>125</v>
      </c>
      <c r="G573" t="s">
        <v>28</v>
      </c>
      <c r="H573">
        <v>2</v>
      </c>
      <c r="I573" s="1" t="s">
        <v>2697</v>
      </c>
      <c r="J573" s="1" t="s">
        <v>2757</v>
      </c>
      <c r="K573">
        <v>1065</v>
      </c>
      <c r="L573">
        <v>558</v>
      </c>
      <c r="M573">
        <v>174</v>
      </c>
      <c r="N573">
        <v>105</v>
      </c>
      <c r="O573" s="2" t="s">
        <v>2758</v>
      </c>
      <c r="P573">
        <v>1</v>
      </c>
      <c r="Q573" t="s">
        <v>2759</v>
      </c>
      <c r="R573">
        <v>1</v>
      </c>
      <c r="S573" t="s">
        <v>2760</v>
      </c>
      <c r="T573">
        <v>1</v>
      </c>
      <c r="U573" t="s">
        <v>2761</v>
      </c>
      <c r="V573" t="s">
        <v>2673</v>
      </c>
    </row>
    <row r="574" spans="1:22" hidden="1" x14ac:dyDescent="0.2">
      <c r="A574" t="s">
        <v>93</v>
      </c>
      <c r="B574" t="s">
        <v>2119</v>
      </c>
      <c r="C574" t="s">
        <v>24</v>
      </c>
      <c r="D574" t="s">
        <v>2666</v>
      </c>
      <c r="E574" t="s">
        <v>395</v>
      </c>
      <c r="F574" t="s">
        <v>125</v>
      </c>
      <c r="G574" t="s">
        <v>28</v>
      </c>
      <c r="H574">
        <v>3</v>
      </c>
      <c r="I574" s="1" t="s">
        <v>2697</v>
      </c>
      <c r="J574" s="1" t="s">
        <v>2762</v>
      </c>
      <c r="K574">
        <v>1065</v>
      </c>
      <c r="L574">
        <v>558</v>
      </c>
      <c r="M574">
        <v>146</v>
      </c>
      <c r="N574">
        <v>88</v>
      </c>
      <c r="O574" s="2" t="s">
        <v>2763</v>
      </c>
      <c r="P574">
        <v>1</v>
      </c>
      <c r="Q574" t="s">
        <v>2764</v>
      </c>
      <c r="R574">
        <v>1</v>
      </c>
      <c r="S574" t="s">
        <v>2765</v>
      </c>
      <c r="T574">
        <v>1</v>
      </c>
      <c r="U574" t="s">
        <v>775</v>
      </c>
      <c r="V574" t="s">
        <v>2673</v>
      </c>
    </row>
    <row r="575" spans="1:22" hidden="1" x14ac:dyDescent="0.2">
      <c r="A575" t="s">
        <v>140</v>
      </c>
      <c r="B575" t="s">
        <v>2119</v>
      </c>
      <c r="C575" t="s">
        <v>24</v>
      </c>
      <c r="D575" t="s">
        <v>2666</v>
      </c>
      <c r="E575" t="s">
        <v>395</v>
      </c>
      <c r="F575" t="s">
        <v>141</v>
      </c>
      <c r="G575" t="s">
        <v>28</v>
      </c>
      <c r="H575">
        <v>1</v>
      </c>
      <c r="I575" s="1" t="s">
        <v>2766</v>
      </c>
      <c r="J575" t="s">
        <v>2767</v>
      </c>
      <c r="K575">
        <v>973</v>
      </c>
      <c r="L575">
        <v>507</v>
      </c>
      <c r="M575">
        <v>686</v>
      </c>
      <c r="N575">
        <v>28</v>
      </c>
      <c r="O575" s="2" t="s">
        <v>2768</v>
      </c>
      <c r="P575">
        <v>1</v>
      </c>
      <c r="Q575" t="s">
        <v>2769</v>
      </c>
      <c r="R575">
        <v>1</v>
      </c>
      <c r="S575" t="s">
        <v>2770</v>
      </c>
      <c r="T575">
        <v>1</v>
      </c>
      <c r="U575" t="s">
        <v>2771</v>
      </c>
      <c r="V575" t="s">
        <v>2673</v>
      </c>
    </row>
    <row r="576" spans="1:22" hidden="1" x14ac:dyDescent="0.2">
      <c r="A576" t="s">
        <v>140</v>
      </c>
      <c r="B576" t="s">
        <v>2119</v>
      </c>
      <c r="C576" t="s">
        <v>24</v>
      </c>
      <c r="D576" t="s">
        <v>2666</v>
      </c>
      <c r="E576" t="s">
        <v>395</v>
      </c>
      <c r="F576" t="s">
        <v>141</v>
      </c>
      <c r="G576" t="s">
        <v>28</v>
      </c>
      <c r="H576">
        <v>2</v>
      </c>
      <c r="I576" s="1" t="s">
        <v>2766</v>
      </c>
      <c r="J576" t="s">
        <v>2772</v>
      </c>
      <c r="K576">
        <v>973</v>
      </c>
      <c r="L576">
        <v>507</v>
      </c>
      <c r="M576">
        <v>292</v>
      </c>
      <c r="N576">
        <v>19</v>
      </c>
      <c r="O576" s="2" t="s">
        <v>2773</v>
      </c>
      <c r="P576">
        <v>1</v>
      </c>
      <c r="Q576" t="s">
        <v>2774</v>
      </c>
      <c r="R576">
        <v>1</v>
      </c>
      <c r="S576" t="s">
        <v>2775</v>
      </c>
      <c r="T576">
        <v>1</v>
      </c>
      <c r="U576" t="s">
        <v>2776</v>
      </c>
      <c r="V576" t="s">
        <v>2673</v>
      </c>
    </row>
    <row r="577" spans="1:22" hidden="1" x14ac:dyDescent="0.2">
      <c r="A577" t="s">
        <v>140</v>
      </c>
      <c r="B577" t="s">
        <v>2119</v>
      </c>
      <c r="C577" t="s">
        <v>24</v>
      </c>
      <c r="D577" t="s">
        <v>2666</v>
      </c>
      <c r="E577" t="s">
        <v>395</v>
      </c>
      <c r="F577" t="s">
        <v>141</v>
      </c>
      <c r="G577" t="s">
        <v>28</v>
      </c>
      <c r="H577">
        <v>3</v>
      </c>
      <c r="I577" s="1" t="s">
        <v>2766</v>
      </c>
      <c r="J577" t="s">
        <v>2777</v>
      </c>
      <c r="K577">
        <v>973</v>
      </c>
      <c r="L577">
        <v>507</v>
      </c>
      <c r="M577">
        <v>489</v>
      </c>
      <c r="N577">
        <v>23</v>
      </c>
      <c r="O577" s="2" t="s">
        <v>2778</v>
      </c>
      <c r="P577">
        <v>1</v>
      </c>
      <c r="Q577" t="s">
        <v>2779</v>
      </c>
      <c r="R577">
        <v>1</v>
      </c>
      <c r="S577" t="s">
        <v>2780</v>
      </c>
      <c r="T577">
        <v>1</v>
      </c>
      <c r="U577" t="s">
        <v>339</v>
      </c>
      <c r="V577" t="s">
        <v>2673</v>
      </c>
    </row>
  </sheetData>
  <autoFilter ref="A1:V577" xr:uid="{CCE9A42C-D0C0-564B-90F0-D5C43F5A84F3}">
    <filterColumn colId="5">
      <filters>
        <filter val="gpt-4o-cot-and-reflection"/>
      </filters>
    </filterColumn>
    <filterColumn colId="15">
      <filters>
        <filter val="0"/>
      </filters>
    </filterColumn>
  </autoFilter>
  <pageMargins left="0.75" right="0.75" top="1" bottom="1" header="0.5" footer="0.5"/>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4C8A2-3B46-E84C-8FA3-AB9283DA98F9}">
  <dimension ref="A1:J9"/>
  <sheetViews>
    <sheetView tabSelected="1" workbookViewId="0">
      <selection activeCell="D7" sqref="D7"/>
    </sheetView>
  </sheetViews>
  <sheetFormatPr baseColWidth="10" defaultRowHeight="16" x14ac:dyDescent="0.2"/>
  <cols>
    <col min="1" max="1" width="34.83203125" customWidth="1"/>
    <col min="2" max="2" width="29" customWidth="1"/>
    <col min="10" max="10" width="15" bestFit="1" customWidth="1"/>
  </cols>
  <sheetData>
    <row r="1" spans="1:10" x14ac:dyDescent="0.2">
      <c r="A1" s="4" t="s">
        <v>2792</v>
      </c>
      <c r="B1" s="4" t="s">
        <v>2782</v>
      </c>
      <c r="C1" s="4" t="s">
        <v>2783</v>
      </c>
      <c r="D1" s="4" t="s">
        <v>2784</v>
      </c>
      <c r="E1" s="4" t="s">
        <v>2785</v>
      </c>
      <c r="F1" s="4" t="s">
        <v>2786</v>
      </c>
      <c r="G1" s="4" t="s">
        <v>2787</v>
      </c>
      <c r="H1" s="4" t="s">
        <v>2788</v>
      </c>
      <c r="I1" s="4" t="s">
        <v>2789</v>
      </c>
      <c r="J1" s="4" t="s">
        <v>2791</v>
      </c>
    </row>
    <row r="2" spans="1:10" x14ac:dyDescent="0.2">
      <c r="A2" s="5" t="s">
        <v>27</v>
      </c>
      <c r="B2" s="6">
        <v>1222.75</v>
      </c>
      <c r="C2" s="6">
        <v>132.4027778</v>
      </c>
      <c r="D2" s="6">
        <v>3.7664996149999999</v>
      </c>
      <c r="E2" s="6">
        <v>1</v>
      </c>
      <c r="F2" s="6">
        <v>0.84722222000000003</v>
      </c>
      <c r="G2" s="6">
        <v>1</v>
      </c>
      <c r="H2" s="6">
        <v>3.0000000000000001E-6</v>
      </c>
      <c r="I2" s="6">
        <v>1.5E-5</v>
      </c>
      <c r="J2" s="6">
        <v>5.6542919999999999</v>
      </c>
    </row>
    <row r="3" spans="1:10" x14ac:dyDescent="0.2">
      <c r="A3" s="5" t="s">
        <v>46</v>
      </c>
      <c r="B3" s="6">
        <v>1250.75</v>
      </c>
      <c r="C3" s="6">
        <v>208.6527778</v>
      </c>
      <c r="D3" s="6">
        <v>4.8547724250000002</v>
      </c>
      <c r="E3" s="6">
        <v>0.93055555999999995</v>
      </c>
      <c r="F3" s="6">
        <v>0.90277777999999997</v>
      </c>
      <c r="G3" s="6">
        <v>1</v>
      </c>
      <c r="H3" s="6">
        <v>3.0000000000000001E-6</v>
      </c>
      <c r="I3" s="6">
        <v>1.5E-5</v>
      </c>
      <c r="J3" s="6">
        <v>6.8820419999999993</v>
      </c>
    </row>
    <row r="4" spans="1:10" x14ac:dyDescent="0.2">
      <c r="A4" s="5" t="s">
        <v>61</v>
      </c>
      <c r="B4" s="6">
        <v>1285.75</v>
      </c>
      <c r="C4" s="6">
        <v>207.18055559999999</v>
      </c>
      <c r="D4" s="6">
        <v>4.960272142</v>
      </c>
      <c r="E4" s="6">
        <v>0.93055555999999995</v>
      </c>
      <c r="F4" s="6">
        <v>0.88888889000000004</v>
      </c>
      <c r="G4" s="6">
        <v>1</v>
      </c>
      <c r="H4" s="6">
        <v>3.0000000000000001E-6</v>
      </c>
      <c r="I4" s="6">
        <v>1.5E-5</v>
      </c>
      <c r="J4" s="6">
        <v>6.9649580000000002</v>
      </c>
    </row>
    <row r="5" spans="1:10" x14ac:dyDescent="0.2">
      <c r="A5" s="5" t="s">
        <v>77</v>
      </c>
      <c r="B5" s="6">
        <v>1133.041667</v>
      </c>
      <c r="C5" s="6">
        <v>156.95833329999999</v>
      </c>
      <c r="D5" s="6">
        <v>6.3821489810000003</v>
      </c>
      <c r="E5" s="6">
        <v>0.65277777999999997</v>
      </c>
      <c r="F5" s="6">
        <v>0.90277777999999997</v>
      </c>
      <c r="G5" s="6">
        <v>1</v>
      </c>
      <c r="H5" s="6">
        <v>1.4999999999999999E-7</v>
      </c>
      <c r="I5" s="6">
        <v>5.9999999999999997E-7</v>
      </c>
      <c r="J5" s="6">
        <v>0.264131</v>
      </c>
    </row>
    <row r="6" spans="1:10" x14ac:dyDescent="0.2">
      <c r="A6" s="5" t="s">
        <v>94</v>
      </c>
      <c r="B6" s="6">
        <v>1077.041667</v>
      </c>
      <c r="C6" s="6">
        <v>106.8888889</v>
      </c>
      <c r="D6" s="6">
        <v>2.9299652580000002</v>
      </c>
      <c r="E6" s="6">
        <v>0.81944444000000005</v>
      </c>
      <c r="F6" s="6">
        <v>0.79166667000000002</v>
      </c>
      <c r="G6" s="6">
        <v>1</v>
      </c>
      <c r="H6" s="6">
        <v>2.5000000000000002E-6</v>
      </c>
      <c r="I6" s="6">
        <v>1.0000000000000001E-5</v>
      </c>
      <c r="J6" s="6">
        <v>3.7614929999999998</v>
      </c>
    </row>
    <row r="7" spans="1:10" x14ac:dyDescent="0.2">
      <c r="A7" s="5" t="s">
        <v>110</v>
      </c>
      <c r="B7" s="6">
        <v>1102.041667</v>
      </c>
      <c r="C7" s="6">
        <v>174.0972222</v>
      </c>
      <c r="D7" s="6">
        <v>3.1707412000000001</v>
      </c>
      <c r="E7" s="6">
        <v>0.83333332999999998</v>
      </c>
      <c r="F7" s="6">
        <v>0.86111110999999996</v>
      </c>
      <c r="G7" s="6">
        <v>1</v>
      </c>
      <c r="H7" s="6">
        <v>2.5000000000000002E-6</v>
      </c>
      <c r="I7" s="6">
        <v>1.0000000000000001E-5</v>
      </c>
      <c r="J7" s="6">
        <v>4.4960759999999995</v>
      </c>
    </row>
    <row r="8" spans="1:10" x14ac:dyDescent="0.2">
      <c r="A8" s="5" t="s">
        <v>125</v>
      </c>
      <c r="B8" s="6">
        <v>1133.041667</v>
      </c>
      <c r="C8" s="6">
        <v>178.68055559999999</v>
      </c>
      <c r="D8" s="6">
        <v>4.1465467609999997</v>
      </c>
      <c r="E8" s="6">
        <v>0.86111110999999996</v>
      </c>
      <c r="F8" s="6">
        <v>0.83333332999999998</v>
      </c>
      <c r="G8" s="6">
        <v>1</v>
      </c>
      <c r="H8" s="6">
        <v>2.5000000000000002E-6</v>
      </c>
      <c r="I8" s="6">
        <v>1.0000000000000001E-5</v>
      </c>
      <c r="J8" s="6">
        <v>4.6194100000000002</v>
      </c>
    </row>
    <row r="9" spans="1:10" x14ac:dyDescent="0.2">
      <c r="A9" s="5" t="s">
        <v>141</v>
      </c>
      <c r="B9" s="6">
        <v>1041.041667</v>
      </c>
      <c r="C9" s="6">
        <v>564.51388889999998</v>
      </c>
      <c r="D9" s="6">
        <v>5.4265720159999997</v>
      </c>
      <c r="E9" s="6">
        <v>0.97222222000000003</v>
      </c>
      <c r="F9" s="6">
        <v>0.66666667000000002</v>
      </c>
      <c r="G9" s="6">
        <v>0.98611111100000004</v>
      </c>
      <c r="H9" s="6">
        <v>1.1000000000000001E-6</v>
      </c>
      <c r="I9" s="6">
        <v>4.4000000000000002E-6</v>
      </c>
      <c r="J9" s="6">
        <v>3.6290070000000001</v>
      </c>
    </row>
  </sheetData>
  <pageMargins left="0.7" right="0.7" top="0.75" bottom="0.75" header="0.3" footer="0.3"/>
  <pageSetup paperSize="9" orientation="portrait" horizontalDpi="0" verticalDpi="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prompting_experiments</vt:lpstr>
      <vt:lpstr>results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#ANAND CHIRAAG SINGH#</cp:lastModifiedBy>
  <dcterms:created xsi:type="dcterms:W3CDTF">2025-02-24T13:09:42Z</dcterms:created>
  <dcterms:modified xsi:type="dcterms:W3CDTF">2025-02-24T14:26:50Z</dcterms:modified>
</cp:coreProperties>
</file>